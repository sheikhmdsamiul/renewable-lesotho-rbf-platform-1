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shboard" sheetId="2" state="visible" r:id="rId4"/>
    <sheet name="Test Cases" sheetId="3" state="visible" r:id="rId5"/>
    <sheet name="E2E Scenarios" sheetId="4" state="visible" r:id="rId6"/>
    <sheet name="Test Accounts &amp; Data" sheetId="5" state="visible" r:id="rId7"/>
    <sheet name="Defect Log" sheetId="6" state="visible" r:id="rId8"/>
    <sheet name="Known Risks" sheetId="7" state="visible" r:id="rId9"/>
  </sheets>
  <definedNames>
    <definedName function="false" hidden="false" localSheetId="5" name="_xlnm.Print_Titles" vbProcedure="false">'Defect Log'!$2:$2</definedName>
    <definedName function="false" hidden="false" localSheetId="3" name="_xlnm.Print_Titles" vbProcedure="false">'E2E Scenarios'!$1:$1</definedName>
    <definedName function="false" hidden="false" localSheetId="2" name="_xlnm.Print_Titles" vbProcedure="false">'Test Cases'!$1:$1</definedName>
    <definedName function="false" hidden="true" localSheetId="2" name="_xlnm._FilterDatabase" vbProcedure="false">'Test Cases'!$A$1:$Q$464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<sst xmlns="http://schemas.openxmlformats.org/spreadsheetml/2006/main" count="5909" uniqueCount="2582">
  <si>
    <t xml:space="preserve">RBF Platform — SQA Test Suite</t>
  </si>
  <si>
    <t xml:space="preserve">Renewable Lesotho RBF Platform · procurement, project lifecycle, verification, payment, administration</t>
  </si>
  <si>
    <t xml:space="preserve">Purpose</t>
  </si>
  <si>
    <t xml:space="preserve">Complete functional, negative, boundary, security and regression test cases for the platform, written from the application source code (develop/test branch, October 2026).</t>
  </si>
  <si>
    <t xml:space="preserve">How to use</t>
  </si>
  <si>
    <t xml:space="preserve">1) Fill the environment block below. 2) Create the accounts on 'Test Accounts &amp; Data'. 3) Execute cases on 'Test Cases' — filter by Module or Priority. 4) Set Status from the dropdown and fill the yellow columns. 5) Log every failure on 'Defect Log' and put its ID in the case's Defect ID column. 6) 'Dashboard' updates automatically.</t>
  </si>
  <si>
    <t xml:space="preserve">Suggested order</t>
  </si>
  <si>
    <t xml:space="preserve">Run the 'E2E Scenarios' sheet first (smoke), then P1 cases of every module, then P2, then P3.</t>
  </si>
  <si>
    <t xml:space="preserve">Priority</t>
  </si>
  <si>
    <t xml:space="preserve">P1 = critical path / money / security — must pass for release. P2 = important validation and alternate flows. P3 = edge cases and cosmetic checks.</t>
  </si>
  <si>
    <t xml:space="preserve">Type</t>
  </si>
  <si>
    <t xml:space="preserve">Positive (happy path) · Negative (invalid input / wrong state) · Boundary (limits) · Security (role &amp; data access) · Regression (recently changed behaviour) · Performance · Compatibility (browsers / devices).</t>
  </si>
  <si>
    <t xml:space="preserve">Status values</t>
  </si>
  <si>
    <t xml:space="preserve">Not Run · Pass · Fail · Blocked (cannot run because of another defect or missing data) · N/A (not applicable to this release).</t>
  </si>
  <si>
    <t xml:space="preserve">Editable cells</t>
  </si>
  <si>
    <t xml:space="preserve">Yellow-shaded columns are for the tester: Actual Result, Status, Tested By, Test Date, Defect ID, Remarks. Do not change TC IDs — the dashboard and defect log refer to them.</t>
  </si>
  <si>
    <t xml:space="preserve">Expected results</t>
  </si>
  <si>
    <t xml:space="preserve">Quoted text in Expected Result is the exact message the application should show. A different wording is a Fail only if the meaning differs — otherwise note it in Remarks.</t>
  </si>
  <si>
    <t xml:space="preserve">Known risks</t>
  </si>
  <si>
    <t xml:space="preserve">See 'Known Risks' for issues found during code review that testers should confirm (e.g. M3 inclusion targets, session logouts, public /media files).</t>
  </si>
  <si>
    <t xml:space="preserve">'Code review: ... likely FAIL'</t>
  </si>
  <si>
    <t xml:space="preserve">Some Expected Results describe the CORRECT behaviour and note that code review suggests the system currently behaves differently. Test them normally: if the system matches the note, mark Fail and log a defect.</t>
  </si>
  <si>
    <t xml:space="preserve">Test environment</t>
  </si>
  <si>
    <t xml:space="preserve">Application URL</t>
  </si>
  <si>
    <t xml:space="preserve">Branch / build</t>
  </si>
  <si>
    <t xml:space="preserve">Backend version / commit</t>
  </si>
  <si>
    <t xml:space="preserve">Browser(s) &amp; version</t>
  </si>
  <si>
    <t xml:space="preserve">Test cycle name</t>
  </si>
  <si>
    <t xml:space="preserve">Test lead</t>
  </si>
  <si>
    <t xml:space="preserve">Start date</t>
  </si>
  <si>
    <t xml:space="preserve">End date</t>
  </si>
  <si>
    <t xml:space="preserve">Test Execution Dashboard</t>
  </si>
  <si>
    <t xml:space="preserve">Updates automatically from the Status column on 'Test Cases'.</t>
  </si>
  <si>
    <t xml:space="preserve">Module</t>
  </si>
  <si>
    <t xml:space="preserve">Total</t>
  </si>
  <si>
    <t xml:space="preserve">Pass</t>
  </si>
  <si>
    <t xml:space="preserve">Fail</t>
  </si>
  <si>
    <t xml:space="preserve">Blocked</t>
  </si>
  <si>
    <t xml:space="preserve">N/A</t>
  </si>
  <si>
    <t xml:space="preserve">Not Run</t>
  </si>
  <si>
    <t xml:space="preserve">Executed %</t>
  </si>
  <si>
    <t xml:space="preserve">Pass Rate %</t>
  </si>
  <si>
    <t xml:space="preserve">Vendor Registration &amp; Profile</t>
  </si>
  <si>
    <t xml:space="preserve">Pre-Qualification</t>
  </si>
  <si>
    <t xml:space="preserve">Tender Management</t>
  </si>
  <si>
    <t xml:space="preserve">Tender Publish Workflow</t>
  </si>
  <si>
    <t xml:space="preserve">Notice Board</t>
  </si>
  <si>
    <t xml:space="preserve">EOI Invites</t>
  </si>
  <si>
    <t xml:space="preserve">Bids</t>
  </si>
  <si>
    <t xml:space="preserve">Bid Evaluation</t>
  </si>
  <si>
    <t xml:space="preserve">Award &amp; Standstill</t>
  </si>
  <si>
    <t xml:space="preserve">Blacklisting</t>
  </si>
  <si>
    <t xml:space="preserve">Contract (PBA)</t>
  </si>
  <si>
    <t xml:space="preserve">Project Assignment &amp; Milestones</t>
  </si>
  <si>
    <t xml:space="preserve">Project Setup</t>
  </si>
  <si>
    <t xml:space="preserve">Installations</t>
  </si>
  <si>
    <t xml:space="preserve">Field Verification</t>
  </si>
  <si>
    <t xml:space="preserve">DoE Verification Review</t>
  </si>
  <si>
    <t xml:space="preserve">Meter Data</t>
  </si>
  <si>
    <t xml:space="preserve">Anomaly Flags</t>
  </si>
  <si>
    <t xml:space="preserve">Oversight (PSC / DoE / RMT)</t>
  </si>
  <si>
    <t xml:space="preserve">Audit Cases</t>
  </si>
  <si>
    <t xml:space="preserve">Milestone Eligibility</t>
  </si>
  <si>
    <t xml:space="preserve">Payment Claims</t>
  </si>
  <si>
    <t xml:space="preserve">Claim Approval &amp; Payment</t>
  </si>
  <si>
    <t xml:space="preserve">Milestone Completion Review</t>
  </si>
  <si>
    <t xml:space="preserve">Session &amp; Reliability</t>
  </si>
  <si>
    <t xml:space="preserve">Authentication</t>
  </si>
  <si>
    <t xml:space="preserve">User Management</t>
  </si>
  <si>
    <t xml:space="preserve">Role-Based Access</t>
  </si>
  <si>
    <t xml:space="preserve">Platform Configuration &amp; Master Data</t>
  </si>
  <si>
    <t xml:space="preserve">System Health &amp; Audit Logs</t>
  </si>
  <si>
    <t xml:space="preserve">Notifications</t>
  </si>
  <si>
    <t xml:space="preserve">Reports</t>
  </si>
  <si>
    <t xml:space="preserve">GIS Map</t>
  </si>
  <si>
    <t xml:space="preserve">Prospect Sync</t>
  </si>
  <si>
    <t xml:space="preserve">Uploads &amp; Non-Functional</t>
  </si>
  <si>
    <t xml:space="preserve">TOTAL</t>
  </si>
  <si>
    <t xml:space="preserve">By priority</t>
  </si>
  <si>
    <t xml:space="preserve">P1</t>
  </si>
  <si>
    <t xml:space="preserve">P2</t>
  </si>
  <si>
    <t xml:space="preserve">P3</t>
  </si>
  <si>
    <t xml:space="preserve">Release gate</t>
  </si>
  <si>
    <t xml:space="preserve">Open P1 failures</t>
  </si>
  <si>
    <t xml:space="preserve">Open defects (Defect Log)</t>
  </si>
  <si>
    <t xml:space="preserve">Includes the example row on 'Defect Log' until it is deleted.</t>
  </si>
  <si>
    <t xml:space="preserve">Ready for release?</t>
  </si>
  <si>
    <t xml:space="preserve">Rule: no P1 failures, no failed cases, and every case executed.</t>
  </si>
  <si>
    <t xml:space="preserve">TC ID</t>
  </si>
  <si>
    <t xml:space="preserve">Sub-module</t>
  </si>
  <si>
    <t xml:space="preserve">Test Title</t>
  </si>
  <si>
    <t xml:space="preserve">Role</t>
  </si>
  <si>
    <t xml:space="preserve">Preconditions</t>
  </si>
  <si>
    <t xml:space="preserve">Test Steps</t>
  </si>
  <si>
    <t xml:space="preserve">Test Data</t>
  </si>
  <si>
    <t xml:space="preserve">Expected Result</t>
  </si>
  <si>
    <t xml:space="preserve">Actual Result</t>
  </si>
  <si>
    <t xml:space="preserve">Status</t>
  </si>
  <si>
    <t xml:space="preserve">Tested By</t>
  </si>
  <si>
    <t xml:space="preserve">Test Date</t>
  </si>
  <si>
    <t xml:space="preserve">Defect ID</t>
  </si>
  <si>
    <t xml:space="preserve">Remarks</t>
  </si>
  <si>
    <t xml:space="preserve">REG-001</t>
  </si>
  <si>
    <t xml:space="preserve">Registration</t>
  </si>
  <si>
    <t xml:space="preserve">Vendor registers through the 3-step wizard</t>
  </si>
  <si>
    <t xml:space="preserve">Anonymous</t>
  </si>
  <si>
    <t xml:space="preserve">Positive</t>
  </si>
  <si>
    <t xml:space="preserve">SMTP configured (or DEBUG for debug OTP)</t>
  </si>
  <si>
    <t xml:space="preserve">1. Open registration
2. Step 1 'Register your organisation' -&gt; 'Continue'
3. Step 2 'Organisation details' -&gt; 'Send verification code'
4. Step 3 enter 6-digit OTP -&gt; 'Verify &amp; create account'</t>
  </si>
  <si>
    <t xml:space="preserve">Unique email, username, Tax ID, registration no.; mobile 58123456; certificate PDF 1 MB; consent ticked</t>
  </si>
  <si>
    <t xml:space="preserve">Account created with status Pending; can log in</t>
  </si>
  <si>
    <t xml:space="preserve">REG-002</t>
  </si>
  <si>
    <t xml:space="preserve">OTP</t>
  </si>
  <si>
    <t xml:space="preserve">OTP resend cooldown 60 s</t>
  </si>
  <si>
    <t xml:space="preserve">Boundary</t>
  </si>
  <si>
    <t xml:space="preserve">OTP just requested</t>
  </si>
  <si>
    <t xml:space="preserve">1. Request another code within 60 s</t>
  </si>
  <si>
    <t xml:space="preserve">—</t>
  </si>
  <si>
    <t xml:space="preserve">HTTP 429 'Please wait 60 seconds before requesting another code.'</t>
  </si>
  <si>
    <t xml:space="preserve">REG-003</t>
  </si>
  <si>
    <t xml:space="preserve">OTP request limit per network</t>
  </si>
  <si>
    <t xml:space="preserve">Security</t>
  </si>
  <si>
    <t xml:space="preserve">1. Request 11 codes from same IP within an hour (respecting cooldown)</t>
  </si>
  <si>
    <t xml:space="preserve">11th: 'Too many verification codes requested from this network. Try again later.'</t>
  </si>
  <si>
    <t xml:space="preserve">REG-004</t>
  </si>
  <si>
    <t xml:space="preserve">Wrong OTP attempts</t>
  </si>
  <si>
    <t xml:space="preserve">OTP requested</t>
  </si>
  <si>
    <t xml:space="preserve">1. Enter wrong code 1-4 times
2. Enter wrong code 5th time</t>
  </si>
  <si>
    <t xml:space="preserve">'Incorrect code. N attempt(s) remaining.'; 5th: 'Too many incorrect codes. Request a new verification code.'</t>
  </si>
  <si>
    <t xml:space="preserve">REG-005</t>
  </si>
  <si>
    <t xml:space="preserve">Expired OTP</t>
  </si>
  <si>
    <t xml:space="preserve">OTP older than 10 minutes</t>
  </si>
  <si>
    <t xml:space="preserve">1. Enter the code</t>
  </si>
  <si>
    <t xml:space="preserve">'OTP has expired. Please request a new one.'</t>
  </si>
  <si>
    <t xml:space="preserve">REG-006</t>
  </si>
  <si>
    <t xml:space="preserve">No SMTP in production</t>
  </si>
  <si>
    <t xml:space="preserve">Negative</t>
  </si>
  <si>
    <t xml:space="preserve">Production, SMTP not configured</t>
  </si>
  <si>
    <t xml:space="preserve">1. Request OTP</t>
  </si>
  <si>
    <t xml:space="preserve">503 'Email service is not configured.'</t>
  </si>
  <si>
    <t xml:space="preserve">REG-007</t>
  </si>
  <si>
    <t xml:space="preserve">Validation</t>
  </si>
  <si>
    <t xml:space="preserve">Duplicate email / username / Tax ID / registration no.</t>
  </si>
  <si>
    <t xml:space="preserve">Existing vendor</t>
  </si>
  <si>
    <t xml:space="preserve">1. Register re-using each value in turn</t>
  </si>
  <si>
    <t xml:space="preserve">'An account with this email already exists...', 'This username is already taken.', 'A vendor with this Tax ID is already registered...', 'A vendor with this registration number is already registered.'</t>
  </si>
  <si>
    <t xml:space="preserve">REG-008</t>
  </si>
  <si>
    <t xml:space="preserve">Registration certificate rules</t>
  </si>
  <si>
    <t xml:space="preserve">1. Submit without certificate
2. Upload .docx
3. Upload 11 MB PDF
4. Upload a .txt renamed .pdf</t>
  </si>
  <si>
    <t xml:space="preserve">'Upload your company registration certificate (PDF, JPG or PNG).' / '...must be one of: JPG, PDF, PNG.' / '...larger than the 10 MB limit.' / '...does not look like a valid PDF file.'</t>
  </si>
  <si>
    <t xml:space="preserve">REG-009</t>
  </si>
  <si>
    <t xml:space="preserve">Lesotho mobile number formats</t>
  </si>
  <si>
    <t xml:space="preserve">1. Enter 48123456
2. Enter 2665812345 (10 digits)
3. Enter 26658123456
4. Enter +27821234567</t>
  </si>
  <si>
    <t xml:space="preserve">48..: 'Enter a Lesotho mobile number starting with 5 or 6...'; 10-digit 266: 'A Lesotho mobile number is +266 followed by 8 digits...'; valid ones accepted</t>
  </si>
  <si>
    <t xml:space="preserve">REG-010</t>
  </si>
  <si>
    <t xml:space="preserve">Password rules</t>
  </si>
  <si>
    <t xml:space="preserve">1. Password 'abc123'
2. Password '12345678'
3. Password 'password'
4. Passwords not matching</t>
  </si>
  <si>
    <t xml:space="preserve">Rejected for length, all-numeric, common password; 'Passwords do not match.'</t>
  </si>
  <si>
    <t xml:space="preserve">REG-011</t>
  </si>
  <si>
    <t xml:space="preserve">Username client rules</t>
  </si>
  <si>
    <t xml:space="preserve">1. Username 'ab'
2. Username 'bad name!'</t>
  </si>
  <si>
    <t xml:space="preserve">'Username must be at least 3 characters.' / 'Use only letters, numbers and @ . + - _'</t>
  </si>
  <si>
    <t xml:space="preserve">REG-012</t>
  </si>
  <si>
    <t xml:space="preserve">Consent required</t>
  </si>
  <si>
    <t xml:space="preserve">1. Untick terms consent
2. Submit</t>
  </si>
  <si>
    <t xml:space="preserve">'You must accept the terms and privacy notice to register.'</t>
  </si>
  <si>
    <t xml:space="preserve">REG-013</t>
  </si>
  <si>
    <t xml:space="preserve">Blacklisted identity cannot re-register</t>
  </si>
  <si>
    <t xml:space="preserve">A blacklisted company exists</t>
  </si>
  <si>
    <t xml:space="preserve">1. Register with its Tax ID / organisation name / a director's name</t>
  </si>
  <si>
    <t xml:space="preserve">'This vendor identity is blacklisted and cannot be re-registered.' / 'A director or partner linked to a blacklisted company appears in this application.'</t>
  </si>
  <si>
    <t xml:space="preserve">REG-014</t>
  </si>
  <si>
    <t xml:space="preserve">Anonymous cannot set privileged fields</t>
  </si>
  <si>
    <t xml:space="preserve">1. POST /users/ with role 'Platform Administrator (Super Admin)'
2. POST with bank_*, verification_zone, must_change_password</t>
  </si>
  <si>
    <t xml:space="preserve">'Only vendor registration is allowed.'; privileged fields ignored/rejected</t>
  </si>
  <si>
    <t xml:space="preserve">REG-015</t>
  </si>
  <si>
    <t xml:space="preserve">Approval</t>
  </si>
  <si>
    <t xml:space="preserve">RMT approves pending vendor</t>
  </si>
  <si>
    <t xml:space="preserve">RMT</t>
  </si>
  <si>
    <t xml:space="preserve">Vendor status Pending</t>
  </si>
  <si>
    <t xml:space="preserve">1. Approve vendor (All Vendors)</t>
  </si>
  <si>
    <t xml:space="preserve">Status Active</t>
  </si>
  <si>
    <t xml:space="preserve">REG-016</t>
  </si>
  <si>
    <t xml:space="preserve">Non-RMT cannot approve vendor</t>
  </si>
  <si>
    <t xml:space="preserve">TAC / PSC</t>
  </si>
  <si>
    <t xml:space="preserve">1. POST /users/{id}/approve/</t>
  </si>
  <si>
    <t xml:space="preserve">'Only RBF Management Team or Platform Administrator (Super Admin) can approve vendors.'</t>
  </si>
  <si>
    <t xml:space="preserve">REG-017</t>
  </si>
  <si>
    <t xml:space="preserve">Profile</t>
  </si>
  <si>
    <t xml:space="preserve">Vendor edits My Profile</t>
  </si>
  <si>
    <t xml:space="preserve">Vendor</t>
  </si>
  <si>
    <t xml:space="preserve">Logged in vendor</t>
  </si>
  <si>
    <t xml:space="preserve">1. My Profile -&gt; change address and organisation type
2. Save</t>
  </si>
  <si>
    <t xml:space="preserve">Saved and shown after reload</t>
  </si>
  <si>
    <t xml:space="preserve">REG-018</t>
  </si>
  <si>
    <t xml:space="preserve">Profile edit enforces uniqueness and blacklist checks</t>
  </si>
  <si>
    <t xml:space="preserve">Another vendor's Tax ID known; a blacklisted Tax ID known</t>
  </si>
  <si>
    <t xml:space="preserve">1. PATCH my_profile with duplicate Tax ID
2. PATCH with blacklisted Tax ID
3. PATCH invalid mobile 123</t>
  </si>
  <si>
    <t xml:space="preserve">All three rejected. (Code review: no validation on profile PATCH — likely FAIL, log defect)</t>
  </si>
  <si>
    <t xml:space="preserve">REG-019</t>
  </si>
  <si>
    <t xml:space="preserve">Bank details masked for other roles</t>
  </si>
  <si>
    <t xml:space="preserve">TAC / PSC / DoE</t>
  </si>
  <si>
    <t xml:space="preserve">Vendor has bank account</t>
  </si>
  <si>
    <t xml:space="preserve">1. View vendor as TAC/DoE</t>
  </si>
  <si>
    <t xml:space="preserve">Account number masked except last 4 digits; full only for the vendor, RMT, Admin</t>
  </si>
  <si>
    <t xml:space="preserve">REG-020</t>
  </si>
  <si>
    <t xml:space="preserve">My Profile endpoint vendor-only</t>
  </si>
  <si>
    <t xml:space="preserve">1. GET /users/my_profile/ as RMT</t>
  </si>
  <si>
    <t xml:space="preserve">'Only vendors can access this endpoint'</t>
  </si>
  <si>
    <t xml:space="preserve">PQ-001</t>
  </si>
  <si>
    <t xml:space="preserve">Submit</t>
  </si>
  <si>
    <t xml:space="preserve">Vendor submits pre-qualification</t>
  </si>
  <si>
    <t xml:space="preserve">Vendor without prequal</t>
  </si>
  <si>
    <t xml:space="preserve">1. Pre-Qualification -&gt; 'Start application'
2. Complete 4 steps with 5 documents
3. Accept declaration
4. 'Submit application'</t>
  </si>
  <si>
    <t xml:space="preserve">Docs pdf/docx/jpg/png; female 50, vulnerable 30; tier Level 2; account 1234567; SWIFT FIRNLSMX</t>
  </si>
  <si>
    <t xml:space="preserve">Status Pending; visible in RMT 'Vendor Pre-Qualification'</t>
  </si>
  <si>
    <t xml:space="preserve">PQ-002</t>
  </si>
  <si>
    <t xml:space="preserve">All five documents required</t>
  </si>
  <si>
    <t xml:space="preserve">1. Omit 'Trading licence'
2. Submit</t>
  </si>
  <si>
    <t xml:space="preserve">'Trading licence is required.'</t>
  </si>
  <si>
    <t xml:space="preserve">PQ-003</t>
  </si>
  <si>
    <t xml:space="preserve">Inclusion target minimums</t>
  </si>
  <si>
    <t xml:space="preserve">Platform minimums 50/30</t>
  </si>
  <si>
    <t xml:space="preserve">1. Female 49
2. Vulnerable 29
3. Female 101</t>
  </si>
  <si>
    <t xml:space="preserve">'Female beneficiary target must be between 50 and 100.' etc.</t>
  </si>
  <si>
    <t xml:space="preserve">PQ-004</t>
  </si>
  <si>
    <t xml:space="preserve">Numeric ranges</t>
  </si>
  <si>
    <t xml:space="preserve">1. Years 101
2. Districts covered 0 and 11
3. Revenue -1</t>
  </si>
  <si>
    <t xml:space="preserve">Range messages; 'Annual revenue cannot be negative.'</t>
  </si>
  <si>
    <t xml:space="preserve">PQ-005</t>
  </si>
  <si>
    <t xml:space="preserve">Technology types</t>
  </si>
  <si>
    <t xml:space="preserve">1. Select none
2. Send 'XYZ' via API</t>
  </si>
  <si>
    <t xml:space="preserve">'Select at least one technology type.' / 'Technology types must be from: GMG, ICS, PUE, SHS, SWP.'</t>
  </si>
  <si>
    <t xml:space="preserve">PQ-006</t>
  </si>
  <si>
    <t xml:space="preserve">Bank detail formats</t>
  </si>
  <si>
    <t xml:space="preserve">1. Account '1234'
2. Account 21 digits
3. SWIFT 'FIRN'
4. Sort code 'AB12'</t>
  </si>
  <si>
    <t xml:space="preserve">'Account number must be 5-20 digits.' / 'SWIFT/BIC must be 8 or 11 characters, e.g. FIRNLSMX.' / 'Branch/sort code may contain only digits and dashes.'</t>
  </si>
  <si>
    <t xml:space="preserve">PQ-007</t>
  </si>
  <si>
    <t xml:space="preserve">Declaration required</t>
  </si>
  <si>
    <t xml:space="preserve">1. Untick declaration
2. Submit</t>
  </si>
  <si>
    <t xml:space="preserve">'You must accept the declaration before submitting.'</t>
  </si>
  <si>
    <t xml:space="preserve">PQ-008</t>
  </si>
  <si>
    <t xml:space="preserve">Only one active application</t>
  </si>
  <si>
    <t xml:space="preserve">Prequal Pending</t>
  </si>
  <si>
    <t xml:space="preserve">1. Submit another</t>
  </si>
  <si>
    <t xml:space="preserve">'You already have a pre-qualification that is Pending. You cannot submit another one.'</t>
  </si>
  <si>
    <t xml:space="preserve">PQ-009</t>
  </si>
  <si>
    <t xml:space="preserve">Review</t>
  </si>
  <si>
    <t xml:space="preserve">RMT starts review and approves</t>
  </si>
  <si>
    <t xml:space="preserve">1. 'Start review'
2. 'Approve'</t>
  </si>
  <si>
    <t xml:space="preserve">Under Review then Approved; vendor notified 'Pre-Qualification Approved'; vendor can now see tenders</t>
  </si>
  <si>
    <t xml:space="preserve">PQ-010</t>
  </si>
  <si>
    <t xml:space="preserve">Request changes needs comments</t>
  </si>
  <si>
    <t xml:space="preserve">Prequal Under Review</t>
  </si>
  <si>
    <t xml:space="preserve">1. Try 'Request changes' without comments
2. Add comments, 'Request changes'</t>
  </si>
  <si>
    <t xml:space="preserve">Button disabled ('Add comments first'); then status 'Partial (Resubmit)', vendor notified</t>
  </si>
  <si>
    <t xml:space="preserve">PQ-011</t>
  </si>
  <si>
    <t xml:space="preserve">Vendor resubmits after changes requested</t>
  </si>
  <si>
    <t xml:space="preserve">Partial (Resubmit)</t>
  </si>
  <si>
    <t xml:space="preserve">1. 'Update and resubmit'</t>
  </si>
  <si>
    <t xml:space="preserve">Status Pending; moved to top of queue</t>
  </si>
  <si>
    <t xml:space="preserve">PQ-012</t>
  </si>
  <si>
    <t xml:space="preserve">Reject with reason</t>
  </si>
  <si>
    <t xml:space="preserve">Under Review</t>
  </si>
  <si>
    <t xml:space="preserve">1. Comments, 'Reject application'</t>
  </si>
  <si>
    <t xml:space="preserve">Rejected; vendor notified with reason; vendor can 'Correct and apply again'</t>
  </si>
  <si>
    <t xml:space="preserve">PQ-013</t>
  </si>
  <si>
    <t xml:space="preserve">Invalid transitions</t>
  </si>
  <si>
    <t xml:space="preserve">Prequal Approved</t>
  </si>
  <si>
    <t xml:space="preserve">1. Call reject</t>
  </si>
  <si>
    <t xml:space="preserve">'A submission that is Approved cannot be moved to Rejected.'</t>
  </si>
  <si>
    <t xml:space="preserve">PQ-014</t>
  </si>
  <si>
    <t xml:space="preserve">Only RMT/Admin decide; Auditor read-only</t>
  </si>
  <si>
    <t xml:space="preserve">Auditor / TAC</t>
  </si>
  <si>
    <t xml:space="preserve">1. Auditor opens page
2. Call approve</t>
  </si>
  <si>
    <t xml:space="preserve">Auditor sees read-only banner; API 'Only the RBF Management Team or Super Admin can review pre-qualifications.'</t>
  </si>
  <si>
    <t xml:space="preserve">PQ-015</t>
  </si>
  <si>
    <t xml:space="preserve">Records cannot be deleted / edited outside review</t>
  </si>
  <si>
    <t xml:space="preserve">1. DELETE prequal
2. PATCH status directly</t>
  </si>
  <si>
    <t xml:space="preserve">'Pre-qualification records cannot be deleted...' / '...must be made with the review actions...'</t>
  </si>
  <si>
    <t xml:space="preserve">PQ-016</t>
  </si>
  <si>
    <t xml:space="preserve">Vendor sees only own records</t>
  </si>
  <si>
    <t xml:space="preserve">Two vendors</t>
  </si>
  <si>
    <t xml:space="preserve">1. GET another vendor's prequal id</t>
  </si>
  <si>
    <t xml:space="preserve">404/403</t>
  </si>
  <si>
    <t xml:space="preserve">TND-001</t>
  </si>
  <si>
    <t xml:space="preserve">Create</t>
  </si>
  <si>
    <t xml:space="preserve">RMT creates a tender through the 3-step wizard</t>
  </si>
  <si>
    <t xml:space="preserve">1. Tender Management -&gt; New Tender
2. General Info &amp; Evaluation
3. Timeline &amp; Governance
4. Scope &amp; Submission
5. Save</t>
  </si>
  <si>
    <t xml:space="preserve">Weights 70/30, threshold 70, SHS, Maseru, EOI-&gt;Combined deadlines ascending</t>
  </si>
  <si>
    <t xml:space="preserve">'Tender saved successfully.'; reference TND-xxxxxx; status Draft</t>
  </si>
  <si>
    <t xml:space="preserve">TND-002</t>
  </si>
  <si>
    <t xml:space="preserve">Required fields</t>
  </si>
  <si>
    <t xml:space="preserve">1. Leave name, instruction, contact details empty
2. Save</t>
  </si>
  <si>
    <t xml:space="preserve">'Fill required fields: ...' (client) / 'This field is required.' (API)</t>
  </si>
  <si>
    <t xml:space="preserve">TND-003</t>
  </si>
  <si>
    <t xml:space="preserve">Technology and district required</t>
  </si>
  <si>
    <t xml:space="preserve">1. No technology
2. No district</t>
  </si>
  <si>
    <t xml:space="preserve">'Select at least one Technology Type.' / 'Select at least one Target District.'</t>
  </si>
  <si>
    <t xml:space="preserve">TND-004</t>
  </si>
  <si>
    <t xml:space="preserve">Weights must total 100</t>
  </si>
  <si>
    <t xml:space="preserve">1. Technical 70, Financial 20</t>
  </si>
  <si>
    <t xml:space="preserve">'Technical and Financial evaluation weights must add up to 100%.'</t>
  </si>
  <si>
    <t xml:space="preserve">TND-005</t>
  </si>
  <si>
    <t xml:space="preserve">Threshold and cooling-off ranges</t>
  </si>
  <si>
    <t xml:space="preserve">1. Threshold 101
2. Cooling-off 15 via API</t>
  </si>
  <si>
    <t xml:space="preserve">'Technical threshold must be between 0 and 100.' / 'Cooling-off period must be between 0 and 14 days.'</t>
  </si>
  <si>
    <t xml:space="preserve">TND-006</t>
  </si>
  <si>
    <t xml:space="preserve">Deadline order for EOI -&gt; Combined</t>
  </si>
  <si>
    <t xml:space="preserve">1. Combined deadline before EOI deadline</t>
  </si>
  <si>
    <t xml:space="preserve">'Combined submission deadline must be after the EOI deadline.'</t>
  </si>
  <si>
    <t xml:space="preserve">TND-007</t>
  </si>
  <si>
    <t xml:space="preserve">EOI workflow forces Restricted Tendering</t>
  </si>
  <si>
    <t xml:space="preserve">1. Select EOI -&gt; Combined with Open Tendering</t>
  </si>
  <si>
    <t xml:space="preserve">Saved procurement method = Restricted Tendering</t>
  </si>
  <si>
    <t xml:space="preserve">TND-008</t>
  </si>
  <si>
    <t xml:space="preserve">Tender security address required when enabled</t>
  </si>
  <si>
    <t xml:space="preserve">1. Enable tender security without address</t>
  </si>
  <si>
    <t xml:space="preserve">'Provide the Name &amp; Address for Tender Security...' / 'Required when tender security is enabled.'</t>
  </si>
  <si>
    <t xml:space="preserve">TND-009</t>
  </si>
  <si>
    <t xml:space="preserve">Additional currency rules</t>
  </si>
  <si>
    <t xml:space="preserve">Base LSL</t>
  </si>
  <si>
    <t xml:space="preserve">1. Add LSL as additional
2. Add USD with rate 0</t>
  </si>
  <si>
    <t xml:space="preserve">'LSL is already the base currency...' / 'Exchange rate for USD must be a positive number.'</t>
  </si>
  <si>
    <t xml:space="preserve">TND-010</t>
  </si>
  <si>
    <t xml:space="preserve">Tender document file rules</t>
  </si>
  <si>
    <t xml:space="preserve">1. Upload .png schedule
2. Upload 11 MB PDF</t>
  </si>
  <si>
    <t xml:space="preserve">'Invalid file type. Allowed: PDF, DOC, DOCX, XLS, XLSX.' / 'File too large (max 10MB).'</t>
  </si>
  <si>
    <t xml:space="preserve">TND-011</t>
  </si>
  <si>
    <t xml:space="preserve">Lots</t>
  </si>
  <si>
    <t xml:space="preserve">Lot-wise tender with BOQ per lot</t>
  </si>
  <si>
    <t xml:space="preserve">1. Add 2 lots with districts, technology, BOQ
2. Set Max Lots per Bidder 1
3. Save</t>
  </si>
  <si>
    <t xml:space="preserve">Lots saved; blank-name lot skipped; BOQ rows without description/quantity skipped</t>
  </si>
  <si>
    <t xml:space="preserve">TND-012</t>
  </si>
  <si>
    <t xml:space="preserve">Edit</t>
  </si>
  <si>
    <t xml:space="preserve">Edit Draft tender is audited</t>
  </si>
  <si>
    <t xml:space="preserve">Draft tender</t>
  </si>
  <si>
    <t xml:space="preserve">1. Edit budget
2. Open Activity tab</t>
  </si>
  <si>
    <t xml:space="preserve">'Tender updated successfully.'; tender_updated entry with field diff</t>
  </si>
  <si>
    <t xml:space="preserve">TND-013</t>
  </si>
  <si>
    <t xml:space="preserve">Edit after publish approval resets approval</t>
  </si>
  <si>
    <t xml:space="preserve">Super Admin approved publication</t>
  </si>
  <si>
    <t xml:space="preserve">1. Edit tender content
2. Try Publish</t>
  </si>
  <si>
    <t xml:space="preserve">Approval should reset and require re-approval. (Code review: approval NOT reset — likely FAIL)</t>
  </si>
  <si>
    <t xml:space="preserve">TND-014</t>
  </si>
  <si>
    <t xml:space="preserve">RMT cannot bypass workflow by PATCHing status</t>
  </si>
  <si>
    <t xml:space="preserve">Draft, not verified/approved</t>
  </si>
  <si>
    <t xml:space="preserve">1. PATCH /tenders/{id}/ {"status":"Published"}</t>
  </si>
  <si>
    <t xml:space="preserve">Rejected. (Code review: status is writable — likely FAIL)</t>
  </si>
  <si>
    <t xml:space="preserve">TND-015</t>
  </si>
  <si>
    <t xml:space="preserve">Delete</t>
  </si>
  <si>
    <t xml:space="preserve">Published tender with bids cannot be deleted</t>
  </si>
  <si>
    <t xml:space="preserve">Published tender with bids</t>
  </si>
  <si>
    <t xml:space="preserve">1. DELETE tender</t>
  </si>
  <si>
    <t xml:space="preserve">Refused. (Code review: no status guard — likely FAIL)</t>
  </si>
  <si>
    <t xml:space="preserve">TND-016</t>
  </si>
  <si>
    <t xml:space="preserve">Non-RMT cannot create or modify tenders</t>
  </si>
  <si>
    <t xml:space="preserve">Vendor / TAC / PSC</t>
  </si>
  <si>
    <t xml:space="preserve">1. POST /tenders/
2. PATCH a tender</t>
  </si>
  <si>
    <t xml:space="preserve">'Only the RBF Management Team can create or modify tenders.'</t>
  </si>
  <si>
    <t xml:space="preserve">TND-017</t>
  </si>
  <si>
    <t xml:space="preserve">Archive</t>
  </si>
  <si>
    <t xml:space="preserve">Archived tender is read-only</t>
  </si>
  <si>
    <t xml:space="preserve">All projects under tender completed</t>
  </si>
  <si>
    <t xml:space="preserve">1. Edit tender</t>
  </si>
  <si>
    <t xml:space="preserve">'This tender is archived: every project delivered under it is completed. Its records are read-only.'</t>
  </si>
  <si>
    <t xml:space="preserve">TND-018</t>
  </si>
  <si>
    <t xml:space="preserve">Timeline</t>
  </si>
  <si>
    <t xml:space="preserve">Edit Submission Timeline on Published tender</t>
  </si>
  <si>
    <t xml:space="preserve">Published tender (EOI-&gt;Combined and Combined)</t>
  </si>
  <si>
    <t xml:space="preserve">1. 'Edit Submission Timeline'
2. New deadline
3. 'Update'</t>
  </si>
  <si>
    <t xml:space="preserve">Deadline extended. (Code review: frontend sends identical EOI and combined deadlines -&gt; server error — likely FAIL)</t>
  </si>
  <si>
    <t xml:space="preserve">TND-019</t>
  </si>
  <si>
    <t xml:space="preserve">Close</t>
  </si>
  <si>
    <t xml:space="preserve">Close bidding</t>
  </si>
  <si>
    <t xml:space="preserve">Published tender</t>
  </si>
  <si>
    <t xml:space="preserve">1. Award tab -&gt; Close Bidding -&gt; confirm</t>
  </si>
  <si>
    <t xml:space="preserve">Status Closed; vendors can no longer bid</t>
  </si>
  <si>
    <t xml:space="preserve">TND-020</t>
  </si>
  <si>
    <t xml:space="preserve">Close not allowed from Draft/Awarded</t>
  </si>
  <si>
    <t xml:space="preserve">Draft or Awarded tender</t>
  </si>
  <si>
    <t xml:space="preserve">1. POST close</t>
  </si>
  <si>
    <t xml:space="preserve">Refused. (Code review: only 'already closed' is checked — likely FAIL)</t>
  </si>
  <si>
    <t xml:space="preserve">TND-021</t>
  </si>
  <si>
    <t xml:space="preserve">Deadline</t>
  </si>
  <si>
    <t xml:space="preserve">Application Window auto-closes at deadline</t>
  </si>
  <si>
    <t xml:space="preserve">Application Window tender, deadline passed</t>
  </si>
  <si>
    <t xml:space="preserve">1. Vendor opens/submits bid</t>
  </si>
  <si>
    <t xml:space="preserve">Tender becomes Closed; 'Bidding deadline has passed.'</t>
  </si>
  <si>
    <t xml:space="preserve">TND-022</t>
  </si>
  <si>
    <t xml:space="preserve">Access Window does not enforce hard deadline</t>
  </si>
  <si>
    <t xml:space="preserve">Access Window tender past deadline</t>
  </si>
  <si>
    <t xml:space="preserve">1. Submit bid</t>
  </si>
  <si>
    <t xml:space="preserve">Submission accepted (document behaviour)</t>
  </si>
  <si>
    <t xml:space="preserve">TND-023</t>
  </si>
  <si>
    <t xml:space="preserve">Reminder</t>
  </si>
  <si>
    <t xml:space="preserve">Send Reminder actually notifies vendors</t>
  </si>
  <si>
    <t xml:space="preserve">Published tender with participants</t>
  </si>
  <si>
    <t xml:space="preserve">1. Click 'Send Reminder'
2. Check vendor notifications</t>
  </si>
  <si>
    <t xml:space="preserve">Vendors receive reminder. (Code review: frontend-only toast — likely FAIL)</t>
  </si>
  <si>
    <t xml:space="preserve">TND-024</t>
  </si>
  <si>
    <t xml:space="preserve">Visibility</t>
  </si>
  <si>
    <t xml:space="preserve">Budget hidden unless disclosure published</t>
  </si>
  <si>
    <t xml:space="preserve">Budget disclosure not 'published'</t>
  </si>
  <si>
    <t xml:space="preserve">1. Open tender as vendor; inspect API</t>
  </si>
  <si>
    <t xml:space="preserve">Budget and lot budgets absent</t>
  </si>
  <si>
    <t xml:space="preserve">TND-025</t>
  </si>
  <si>
    <t xml:space="preserve">Vendor without approved prequal sees no tenders</t>
  </si>
  <si>
    <t xml:space="preserve">1. Open Published Tenders</t>
  </si>
  <si>
    <t xml:space="preserve">No tenders listed</t>
  </si>
  <si>
    <t xml:space="preserve">TND-026</t>
  </si>
  <si>
    <t xml:space="preserve">Restricted tender only for invited vendors</t>
  </si>
  <si>
    <t xml:space="preserve">Restricted (non-EOI) tender; vendor not invited</t>
  </si>
  <si>
    <t xml:space="preserve">1. Look for tender; try bid via API</t>
  </si>
  <si>
    <t xml:space="preserve">Not listed; 'This is a Restricted tender — only specifically invited vendors can bid.'</t>
  </si>
  <si>
    <t xml:space="preserve">TND-027</t>
  </si>
  <si>
    <t xml:space="preserve">Invite</t>
  </si>
  <si>
    <t xml:space="preserve">Invite vendors to restricted tender</t>
  </si>
  <si>
    <t xml:space="preserve">Restricted tender</t>
  </si>
  <si>
    <t xml:space="preserve">1. 'Invite Vendors' -&gt; select -&gt; 'Save Invited Vendors'</t>
  </si>
  <si>
    <t xml:space="preserve">Vendors get 'Invited to bid: {ref}'; list sorted with technology matches first</t>
  </si>
  <si>
    <t xml:space="preserve">TND-028</t>
  </si>
  <si>
    <t xml:space="preserve">Limited/Single-Source allows one vendor</t>
  </si>
  <si>
    <t xml:space="preserve">Limited method</t>
  </si>
  <si>
    <t xml:space="preserve">1. Invite 2 vendors</t>
  </si>
  <si>
    <t xml:space="preserve">'Limited/Single-Source tenders may only be directed to one vendor.'</t>
  </si>
  <si>
    <t xml:space="preserve">TND-029</t>
  </si>
  <si>
    <t xml:space="preserve">Viewers</t>
  </si>
  <si>
    <t xml:space="preserve">Tender viewers log</t>
  </si>
  <si>
    <t xml:space="preserve">Vendor viewed published tender</t>
  </si>
  <si>
    <t xml:space="preserve">1. Open Viewers</t>
  </si>
  <si>
    <t xml:space="preserve">First view per vendor listed; non-RMT denied</t>
  </si>
  <si>
    <t xml:space="preserve">TND-030</t>
  </si>
  <si>
    <t xml:space="preserve">Public</t>
  </si>
  <si>
    <t xml:space="preserve">Anonymous sees only published tenders</t>
  </si>
  <si>
    <t xml:space="preserve">1. GET /tenders/ without login</t>
  </si>
  <si>
    <t xml:space="preserve">Only Published tenders returned</t>
  </si>
  <si>
    <t xml:space="preserve">PUB-001</t>
  </si>
  <si>
    <t xml:space="preserve">Verify</t>
  </si>
  <si>
    <t xml:space="preserve">RMT verifies tender</t>
  </si>
  <si>
    <t xml:space="preserve">1. 'Verify' -&gt; 'Verify Tender Details' -&gt; 'Confirm Verification'</t>
  </si>
  <si>
    <t xml:space="preserve">'Tender information verified successfully.'</t>
  </si>
  <si>
    <t xml:space="preserve">PUB-002</t>
  </si>
  <si>
    <t xml:space="preserve">Request</t>
  </si>
  <si>
    <t xml:space="preserve">Request publish approval</t>
  </si>
  <si>
    <t xml:space="preserve">Verified Draft</t>
  </si>
  <si>
    <t xml:space="preserve">1. 'Request Publish Approval'</t>
  </si>
  <si>
    <t xml:space="preserve">Status Pending Publish Approval; toast '...The Super Admin will review before you can publish.'</t>
  </si>
  <si>
    <t xml:space="preserve">PUB-003</t>
  </si>
  <si>
    <t xml:space="preserve">Request requires verification</t>
  </si>
  <si>
    <t xml:space="preserve">Unverified Draft</t>
  </si>
  <si>
    <t xml:space="preserve">1. Request approval</t>
  </si>
  <si>
    <t xml:space="preserve">'Tender must be verified before requesting publish approval.'</t>
  </si>
  <si>
    <t xml:space="preserve">PUB-004</t>
  </si>
  <si>
    <t xml:space="preserve">Duplicate / invalid-state requests</t>
  </si>
  <si>
    <t xml:space="preserve">Pending approval; or Published; or Evaluation</t>
  </si>
  <si>
    <t xml:space="preserve">'...already been requested and is pending review.' / 'Tender is already published.'; Evaluation/Awarded should also be refused (code review: not blocked)</t>
  </si>
  <si>
    <t xml:space="preserve">PUB-005</t>
  </si>
  <si>
    <t xml:space="preserve">Super Admin approves publication</t>
  </si>
  <si>
    <t xml:space="preserve">Super Admin</t>
  </si>
  <si>
    <t xml:space="preserve">Pending Publish Approval</t>
  </si>
  <si>
    <t xml:space="preserve">1. Publish Approvals -&gt; Approve</t>
  </si>
  <si>
    <t xml:space="preserve">Back to Draft with approval granted; 'Publish approval granted. The RBF can now publish this tender.'</t>
  </si>
  <si>
    <t xml:space="preserve">PUB-006</t>
  </si>
  <si>
    <t xml:space="preserve">Super Admin requests changes / rejects</t>
  </si>
  <si>
    <t xml:space="preserve">Pending</t>
  </si>
  <si>
    <t xml:space="preserve">1. Request Changes (notes)
2. Repeat flow, Reject</t>
  </si>
  <si>
    <t xml:space="preserve">Draft with changes_requested / rejected banner on Publish page</t>
  </si>
  <si>
    <t xml:space="preserve">PUB-007</t>
  </si>
  <si>
    <t xml:space="preserve">Only Super Admin can approve</t>
  </si>
  <si>
    <t xml:space="preserve">1. Call approve_publish as RMT</t>
  </si>
  <si>
    <t xml:space="preserve">'Only the Platform Administrator (Super Admin) can approve or reject tender publication.'</t>
  </si>
  <si>
    <t xml:space="preserve">PUB-008</t>
  </si>
  <si>
    <t xml:space="preserve">RMT notified of decision</t>
  </si>
  <si>
    <t xml:space="preserve">Decision made</t>
  </si>
  <si>
    <t xml:space="preserve">1. Check RMT notifications</t>
  </si>
  <si>
    <t xml:space="preserve">RMT notified. (Code review: no notification sent — likely FAIL)</t>
  </si>
  <si>
    <t xml:space="preserve">PUB-009</t>
  </si>
  <si>
    <t xml:space="preserve">Publish</t>
  </si>
  <si>
    <t xml:space="preserve">Publish approved tender and notify bidders</t>
  </si>
  <si>
    <t xml:space="preserve">Approved; at least one approved-prequal vendor</t>
  </si>
  <si>
    <t xml:space="preserve">1. 'Publish' -&gt; 'Publish Now' -&gt; 'Yes, Publish Now'</t>
  </si>
  <si>
    <t xml:space="preserve">Status Published; 'Tender Published: {name}' to approved vendors, DoE, PSC</t>
  </si>
  <si>
    <t xml:space="preserve">PUB-010</t>
  </si>
  <si>
    <t xml:space="preserve">Publish blocked without approval</t>
  </si>
  <si>
    <t xml:space="preserve">Verified, not approved</t>
  </si>
  <si>
    <t xml:space="preserve">1. Publish via API</t>
  </si>
  <si>
    <t xml:space="preserve">'This tender must be approved by the Super Admin before it can be published.'</t>
  </si>
  <si>
    <t xml:space="preserve">PUB-011</t>
  </si>
  <si>
    <t xml:space="preserve">Publish with no approved vendors</t>
  </si>
  <si>
    <t xml:space="preserve">No approved-prequal vendors</t>
  </si>
  <si>
    <t xml:space="preserve">1. Publish</t>
  </si>
  <si>
    <t xml:space="preserve">Clear error and tender NOT published. (Code review: 400 returned but tender already Published — likely FAIL)</t>
  </si>
  <si>
    <t xml:space="preserve">PUB-012</t>
  </si>
  <si>
    <t xml:space="preserve">'Send Email Notification' unticked</t>
  </si>
  <si>
    <t xml:space="preserve">1. Untick email checkbox
2. Publish</t>
  </si>
  <si>
    <t xml:space="preserve">No email sent. (Code review: flag ignored — likely FAIL)</t>
  </si>
  <si>
    <t xml:space="preserve">NTC-001</t>
  </si>
  <si>
    <t xml:space="preserve">Create and publish a general notice</t>
  </si>
  <si>
    <t xml:space="preserve">1. Notice Board -&gt; new notice
2. Title, summary, content, 'Publish immediately'</t>
  </si>
  <si>
    <t xml:space="preserve">Notice visible on public Notice Board with NTC-xxxx id</t>
  </si>
  <si>
    <t xml:space="preserve">NTC-002</t>
  </si>
  <si>
    <t xml:space="preserve">Tender/deadline notice requires linked tender and countdown</t>
  </si>
  <si>
    <t xml:space="preserve">1. Category Tender without linked tender / deadline</t>
  </si>
  <si>
    <t xml:space="preserve">'Linked tender is required for tender and deadline notices.' / 'Countdown date is required...'</t>
  </si>
  <si>
    <t xml:space="preserve">NTC-003</t>
  </si>
  <si>
    <t xml:space="preserve">1. Empty title/summary/content</t>
  </si>
  <si>
    <t xml:space="preserve">'Notice title is required.' / 'Summary is required.' / 'Full content is required.'</t>
  </si>
  <si>
    <t xml:space="preserve">NTC-004</t>
  </si>
  <si>
    <t xml:space="preserve">Email vendors on publish</t>
  </si>
  <si>
    <t xml:space="preserve">Draft notice</t>
  </si>
  <si>
    <t xml:space="preserve">1. Publish with 'Email vendors'</t>
  </si>
  <si>
    <t xml:space="preserve">Approved vendors, DoE and PSC notified</t>
  </si>
  <si>
    <t xml:space="preserve">NTC-005</t>
  </si>
  <si>
    <t xml:space="preserve">Schedule for later</t>
  </si>
  <si>
    <t xml:space="preserve">1. Choose 'Schedule for later'
2. Save</t>
  </si>
  <si>
    <t xml:space="preserve">Notice scheduled. (Code review: 'scheduled' status unsupported — likely FAIL)</t>
  </si>
  <si>
    <t xml:space="preserve">NTC-006</t>
  </si>
  <si>
    <t xml:space="preserve">Drafts hidden from public; non-RMT cannot manage</t>
  </si>
  <si>
    <t xml:space="preserve">Anonymous / Vendor</t>
  </si>
  <si>
    <t xml:space="preserve">Draft notice exists</t>
  </si>
  <si>
    <t xml:space="preserve">1. GET /notices/?status=draft anonymously
2. POST notice as vendor</t>
  </si>
  <si>
    <t xml:space="preserve">Drafts not returned (code review: returned — likely FAIL); 'Only RBF Officials can manage notices.'</t>
  </si>
  <si>
    <t xml:space="preserve">EOI-001</t>
  </si>
  <si>
    <t xml:space="preserve">RBF</t>
  </si>
  <si>
    <t xml:space="preserve">Create and publish EOI Invite</t>
  </si>
  <si>
    <t xml:space="preserve">1. EOI Invites -&gt; New
2. Fill title, entity, site type, technology, district, timeline, scope, deadline, contacts
3. 'Publish EOI Invite'</t>
  </si>
  <si>
    <t xml:space="preserve">Published directly (no verify/approval); visible to all approved vendors</t>
  </si>
  <si>
    <t xml:space="preserve">EOI-002</t>
  </si>
  <si>
    <t xml:space="preserve">EOI Invite required fields</t>
  </si>
  <si>
    <t xml:space="preserve">1. Save with missing fields</t>
  </si>
  <si>
    <t xml:space="preserve">'Fill in the EOI Title, Department Entity, and Target Site Type.' etc.</t>
  </si>
  <si>
    <t xml:space="preserve">EOI-003</t>
  </si>
  <si>
    <t xml:space="preserve">Vendor submits Expression of Interest</t>
  </si>
  <si>
    <t xml:space="preserve">Approved prequal; EOI open</t>
  </si>
  <si>
    <t xml:space="preserve">1. EOI Invites -&gt; open -&gt; wizard
2. Narrative &gt;= 200 chars, inclusion targets, sites, docs
3. 'Submit Expression of Interest' -&gt; confirm declaration</t>
  </si>
  <si>
    <t xml:space="preserve">'Expression of Interest submitted. Ref: {ref} • {time}.'</t>
  </si>
  <si>
    <t xml:space="preserve">EOI-004</t>
  </si>
  <si>
    <t xml:space="preserve">EOI narrative minimum</t>
  </si>
  <si>
    <t xml:space="preserve">1. Narrative 199 chars</t>
  </si>
  <si>
    <t xml:space="preserve">'EOI narrative must be at least 200 characters before submission.'</t>
  </si>
  <si>
    <t xml:space="preserve">EOI-005</t>
  </si>
  <si>
    <t xml:space="preserve">Inclusion targets at least platform minimum</t>
  </si>
  <si>
    <t xml:space="preserve">Minimums 50/30/60</t>
  </si>
  <si>
    <t xml:space="preserve">1. Female-headed 49
2. 101</t>
  </si>
  <si>
    <t xml:space="preserve">'Female-headed household target must be at least 50%.' / '...cannot be more than 100%.'</t>
  </si>
  <si>
    <t xml:space="preserve">EOI-006</t>
  </si>
  <si>
    <t xml:space="preserve">Lot limits on EOI</t>
  </si>
  <si>
    <t xml:space="preserve">Lot-wise tender, max 1 lot</t>
  </si>
  <si>
    <t xml:space="preserve">1. Select 2 lots</t>
  </si>
  <si>
    <t xml:space="preserve">'You may bid on at most 1 lot(s) for this tender.'</t>
  </si>
  <si>
    <t xml:space="preserve">EOI-007</t>
  </si>
  <si>
    <t xml:space="preserve">RMT shortlists EOI</t>
  </si>
  <si>
    <t xml:space="preserve">EOI submitted</t>
  </si>
  <si>
    <t xml:space="preserve">1. Evaluations -&gt; EOI Review -&gt; 'Shortlist'</t>
  </si>
  <si>
    <t xml:space="preserve">Bid Accepted; combined draft created; vendor 'Shortlisted: {ref}'</t>
  </si>
  <si>
    <t xml:space="preserve">EOI-008</t>
  </si>
  <si>
    <t xml:space="preserve">Request revision / reject need feedback</t>
  </si>
  <si>
    <t xml:space="preserve">1. Reject without feedback</t>
  </si>
  <si>
    <t xml:space="preserve">'Feedback is required for rejection or a revision request.'</t>
  </si>
  <si>
    <t xml:space="preserve">EOI-009</t>
  </si>
  <si>
    <t xml:space="preserve">Vendor revises after revision request</t>
  </si>
  <si>
    <t xml:space="preserve">Revision Required</t>
  </si>
  <si>
    <t xml:space="preserve">1. Edit and resubmit</t>
  </si>
  <si>
    <t xml:space="preserve">Submitted; version +1</t>
  </si>
  <si>
    <t xml:space="preserve">EOI-010</t>
  </si>
  <si>
    <t xml:space="preserve">Link</t>
  </si>
  <si>
    <t xml:space="preserve">Create tender from EOI Invite</t>
  </si>
  <si>
    <t xml:space="preserve">Published EOI with shortlisted vendor</t>
  </si>
  <si>
    <t xml:space="preserve">1. New Tender -&gt; 'Link an existing EOI Invite'</t>
  </si>
  <si>
    <t xml:space="preserve">Name copied; shortlisted vendors invited; bids open at Combined stage; EOI locked from further edit</t>
  </si>
  <si>
    <t xml:space="preserve">EOI-011</t>
  </si>
  <si>
    <t xml:space="preserve">EOI cannot be linked twice</t>
  </si>
  <si>
    <t xml:space="preserve">EOI already linked</t>
  </si>
  <si>
    <t xml:space="preserve">1. Link again</t>
  </si>
  <si>
    <t xml:space="preserve">'This EOI Invite has already been used to create another tender.'</t>
  </si>
  <si>
    <t xml:space="preserve">BID-001</t>
  </si>
  <si>
    <t xml:space="preserve">Vendor submits final combined proposal</t>
  </si>
  <si>
    <t xml:space="preserve">Shortlisted; tender Published; before deadline</t>
  </si>
  <si>
    <t xml:space="preserve">1. Open bid wizard
2. Pricing, BOQ (grand total = bid amount), technical, sites, documents
3. 'Submit Final Proposal' -&gt; declaration -&gt; confirm</t>
  </si>
  <si>
    <t xml:space="preserve">Bid Submitted version 1; vendor 'Bid Submitted: {ref}'; RMT/Admin 'New Bid Submitted'</t>
  </si>
  <si>
    <t xml:space="preserve">BID-002</t>
  </si>
  <si>
    <t xml:space="preserve">Access</t>
  </si>
  <si>
    <t xml:space="preserve">Bid blocked without approved prequal</t>
  </si>
  <si>
    <t xml:space="preserve">Latest prequal not Approved</t>
  </si>
  <si>
    <t xml:space="preserve">1. Create bid</t>
  </si>
  <si>
    <t xml:space="preserve">'Complete pre-qualification first'</t>
  </si>
  <si>
    <t xml:space="preserve">BID-003</t>
  </si>
  <si>
    <t xml:space="preserve">Suspended/blacklisted vendor cannot bid</t>
  </si>
  <si>
    <t xml:space="preserve">Vendor Suspended</t>
  </si>
  <si>
    <t xml:space="preserve">'Your vendor account is suspended or blacklisted. Bid submission is disabled.'</t>
  </si>
  <si>
    <t xml:space="preserve">BID-004</t>
  </si>
  <si>
    <t xml:space="preserve">Tender not open</t>
  </si>
  <si>
    <t xml:space="preserve">Tender Closed</t>
  </si>
  <si>
    <t xml:space="preserve">'Tender is not open for bidding.'</t>
  </si>
  <si>
    <t xml:space="preserve">BID-005</t>
  </si>
  <si>
    <t xml:space="preserve">Not shortlisted for combined stage</t>
  </si>
  <si>
    <t xml:space="preserve">EOI workflow, not shortlisted</t>
  </si>
  <si>
    <t xml:space="preserve">1. Create combined bid</t>
  </si>
  <si>
    <t xml:space="preserve">'Only shortlisted vendors can submit a combined Technical &amp; Financial proposal.'</t>
  </si>
  <si>
    <t xml:space="preserve">BID-006</t>
  </si>
  <si>
    <t xml:space="preserve">Framework tier/technology mismatch</t>
  </si>
  <si>
    <t xml:space="preserve">Framework tender</t>
  </si>
  <si>
    <t xml:space="preserve">1. Bid with lower tier</t>
  </si>
  <si>
    <t xml:space="preserve">'Your pre-qualification tier or technology types do not meet this tender's requirements.'</t>
  </si>
  <si>
    <t xml:space="preserve">BID-007</t>
  </si>
  <si>
    <t xml:space="preserve">Duplicate final bid</t>
  </si>
  <si>
    <t xml:space="preserve">Bid already submitted for stage</t>
  </si>
  <si>
    <t xml:space="preserve">1. Create another</t>
  </si>
  <si>
    <t xml:space="preserve">'You have already submitted a bid for this tender.'</t>
  </si>
  <si>
    <t xml:space="preserve">BID-008</t>
  </si>
  <si>
    <t xml:space="preserve">Pricing</t>
  </si>
  <si>
    <t xml:space="preserve">Bid amount and subsidy rules</t>
  </si>
  <si>
    <t xml:space="preserve">1. Amount 0
2. Subsidy -1
3. Subsidy &gt; amount</t>
  </si>
  <si>
    <t xml:space="preserve">'Bid amount must be greater than 0.' / 'Subsidy requested cannot be negative.' / '...must be less than or equal to the bid amount.'</t>
  </si>
  <si>
    <t xml:space="preserve">BID-009</t>
  </si>
  <si>
    <t xml:space="preserve">BOQ total must equal bid amount</t>
  </si>
  <si>
    <t xml:space="preserve">1. BOQ total 90,000; bid 100,000</t>
  </si>
  <si>
    <t xml:space="preserve">'BOQ grand total must equal the bid amount. Current total: 90000.'</t>
  </si>
  <si>
    <t xml:space="preserve">BID-010</t>
  </si>
  <si>
    <t xml:space="preserve">BOQ template unit prices</t>
  </si>
  <si>
    <t xml:space="preserve">Tender with BOQ template</t>
  </si>
  <si>
    <t xml:space="preserve">1. Leave one unit price empty</t>
  </si>
  <si>
    <t xml:space="preserve">'Provide a unit price for every BOQ item: missing ...'</t>
  </si>
  <si>
    <t xml:space="preserve">BID-011</t>
  </si>
  <si>
    <t xml:space="preserve">Currency must be accepted</t>
  </si>
  <si>
    <t xml:space="preserve">Tender accepts LSL only</t>
  </si>
  <si>
    <t xml:space="preserve">1. Bid in USD via API</t>
  </si>
  <si>
    <t xml:space="preserve">'USD is not an accepted currency for this tender.'</t>
  </si>
  <si>
    <t xml:space="preserve">BID-012</t>
  </si>
  <si>
    <t xml:space="preserve">Technical</t>
  </si>
  <si>
    <t xml:space="preserve">Technical fields</t>
  </si>
  <si>
    <t xml:space="preserve">1. Empty O&amp;M summary
2. Rated power 0
3. Tier above prequal tier</t>
  </si>
  <si>
    <t xml:space="preserve">'O&amp;M strategy summary is required...' / 'Value must be greater than 0.' / 'Technical tier cannot exceed your approved pre-qualification tier...'</t>
  </si>
  <si>
    <t xml:space="preserve">BID-013</t>
  </si>
  <si>
    <t xml:space="preserve">PAYGO details when offered (SHS)</t>
  </si>
  <si>
    <t xml:space="preserve">SHS tender</t>
  </si>
  <si>
    <t xml:space="preserve">1. Offer PAYGO without platform/min payment/collection method</t>
  </si>
  <si>
    <t xml:space="preserve">Three PAYGO required messages</t>
  </si>
  <si>
    <t xml:space="preserve">BID-014</t>
  </si>
  <si>
    <t xml:space="preserve">Device brand and model required</t>
  </si>
  <si>
    <t xml:space="preserve">1. Blank brand in UI
2. Blank brand via API</t>
  </si>
  <si>
    <t xml:space="preserve">UI 'Device brand is required.'; API should also refuse (code review: no server check — likely FAIL)</t>
  </si>
  <si>
    <t xml:space="preserve">BID-015</t>
  </si>
  <si>
    <t xml:space="preserve">Sites</t>
  </si>
  <si>
    <t xml:space="preserve">Site rules</t>
  </si>
  <si>
    <t xml:space="preserve">1. No sites
2. Site outside Lesotho polygon but inside bounding box
3. Households 0</t>
  </si>
  <si>
    <t xml:space="preserve">'At least 1 project site is required.' / 'Site coordinates must fall within Lesotho.' / 'Number of households must be at least 1.'</t>
  </si>
  <si>
    <t xml:space="preserve">BID-016</t>
  </si>
  <si>
    <t xml:space="preserve">Files</t>
  </si>
  <si>
    <t xml:space="preserve">Bid file rules</t>
  </si>
  <si>
    <t xml:space="preserve">1. Upload .png proposal
2. Upload 11 MB PDF</t>
  </si>
  <si>
    <t xml:space="preserve">'Invalid file type. Allowed: PDF, DOCX, XLSX.' / 'File too large (max 10MB).'</t>
  </si>
  <si>
    <t xml:space="preserve">BID-017</t>
  </si>
  <si>
    <t xml:space="preserve">Edit before deadline creates new version</t>
  </si>
  <si>
    <t xml:space="preserve">Bid Submitted; before deadline</t>
  </si>
  <si>
    <t xml:space="preserve">Version +1; history in 'Bid Submission Record'</t>
  </si>
  <si>
    <t xml:space="preserve">BID-018</t>
  </si>
  <si>
    <t xml:space="preserve">Withdraw / delete submitted bid</t>
  </si>
  <si>
    <t xml:space="preserve">Bid Submitted</t>
  </si>
  <si>
    <t xml:space="preserve">1. DELETE bid</t>
  </si>
  <si>
    <t xml:space="preserve">'Only draft or withdrawn bids can be deleted. Please contact the RBF Management Team to withdraw a submitted bid.'</t>
  </si>
  <si>
    <t xml:space="preserve">BID-019</t>
  </si>
  <si>
    <t xml:space="preserve">Other vendor cannot update bid</t>
  </si>
  <si>
    <t xml:space="preserve">Vendor B</t>
  </si>
  <si>
    <t xml:space="preserve">Vendor A bid</t>
  </si>
  <si>
    <t xml:space="preserve">1. PATCH as vendor B</t>
  </si>
  <si>
    <t xml:space="preserve">'Only the submitting vendor can update this bid.'</t>
  </si>
  <si>
    <t xml:space="preserve">BID-020</t>
  </si>
  <si>
    <t xml:space="preserve">Sealing</t>
  </si>
  <si>
    <t xml:space="preserve">Financials sealed until financial stage opens</t>
  </si>
  <si>
    <t xml:space="preserve">Evaluation Committee / RMT</t>
  </si>
  <si>
    <t xml:space="preserve">Financial stage not open</t>
  </si>
  <si>
    <t xml:space="preserve">1. View bid as EC and RMT</t>
  </si>
  <si>
    <t xml:space="preserve">Bid amount, subsidy, financial file and lot offers hidden (null)</t>
  </si>
  <si>
    <t xml:space="preserve">BID-021</t>
  </si>
  <si>
    <t xml:space="preserve">Vendor cannot move own bid to Under Review</t>
  </si>
  <si>
    <t xml:space="preserve">1. POST /tender-bids/{id}/review/</t>
  </si>
  <si>
    <t xml:space="preserve">Refused. (Code review: no role check — likely FAIL)</t>
  </si>
  <si>
    <t xml:space="preserve">EVL-001</t>
  </si>
  <si>
    <t xml:space="preserve">Committee</t>
  </si>
  <si>
    <t xml:space="preserve">Super Admin assigns 3-5 member committee</t>
  </si>
  <si>
    <t xml:space="preserve">Users with EC role exist</t>
  </si>
  <si>
    <t xml:space="preserve">1. Tender -&gt; 'Assign Committee' -&gt; select 3</t>
  </si>
  <si>
    <t xml:space="preserve">Saved; members notified 'Assigned to Evaluation Committee: {ref}'</t>
  </si>
  <si>
    <t xml:space="preserve">EVL-002</t>
  </si>
  <si>
    <t xml:space="preserve">Committee size limits</t>
  </si>
  <si>
    <t xml:space="preserve">1. Select 2
2. Select 6</t>
  </si>
  <si>
    <t xml:space="preserve">'An Evaluation Committee must have between 3 and 5 members.'</t>
  </si>
  <si>
    <t xml:space="preserve">EVL-003</t>
  </si>
  <si>
    <t xml:space="preserve">Only EC-role users</t>
  </si>
  <si>
    <t xml:space="preserve">1. Add a TAC user via API</t>
  </si>
  <si>
    <t xml:space="preserve">'These users do not hold the Evaluation Committee role: ...'</t>
  </si>
  <si>
    <t xml:space="preserve">EVL-004</t>
  </si>
  <si>
    <t xml:space="preserve">COI</t>
  </si>
  <si>
    <t xml:space="preserve">Member must attest before scoring</t>
  </si>
  <si>
    <t xml:space="preserve">Evaluation Committee</t>
  </si>
  <si>
    <t xml:space="preserve">Assigned, not attested</t>
  </si>
  <si>
    <t xml:space="preserve">1. Score a bid</t>
  </si>
  <si>
    <t xml:space="preserve">'You must attest to having no conflict of interest on this tender before scoring bids.'</t>
  </si>
  <si>
    <t xml:space="preserve">EVL-005</t>
  </si>
  <si>
    <t xml:space="preserve">Declared conflict blocks scoring that bidder</t>
  </si>
  <si>
    <t xml:space="preserve">Attested</t>
  </si>
  <si>
    <t xml:space="preserve">1. Declare COI against vendor X (business)
2. Score vendor X</t>
  </si>
  <si>
    <t xml:space="preserve">'Conflict of interest declared...'; scoring X refused until Super Admin resolves</t>
  </si>
  <si>
    <t xml:space="preserve">EVL-006</t>
  </si>
  <si>
    <t xml:space="preserve">Super Admin resolves COI</t>
  </si>
  <si>
    <t xml:space="preserve">Declared COI</t>
  </si>
  <si>
    <t xml:space="preserve">1. Resolve</t>
  </si>
  <si>
    <t xml:space="preserve">Member can score again</t>
  </si>
  <si>
    <t xml:space="preserve">EVL-007</t>
  </si>
  <si>
    <t xml:space="preserve">Scoring</t>
  </si>
  <si>
    <t xml:space="preserve">Technical scoring with rationale and Submit &amp; Lock</t>
  </si>
  <si>
    <t xml:space="preserve">Attested; tender Published/Closed</t>
  </si>
  <si>
    <t xml:space="preserve">1. Technical Evaluation -&gt; score each criterion within max
2. Rationale for each
3. 'Submit &amp; Lock'</t>
  </si>
  <si>
    <t xml:space="preserve">Scores e.g. 18/12/8/8/8/4</t>
  </si>
  <si>
    <t xml:space="preserve">Saved and locked; tender moves Closed -&gt; Evaluation on first score</t>
  </si>
  <si>
    <t xml:space="preserve">EVL-008</t>
  </si>
  <si>
    <t xml:space="preserve">Score above maximum</t>
  </si>
  <si>
    <t xml:space="preserve">1. Technical design 21 (max 20)</t>
  </si>
  <si>
    <t xml:space="preserve">'Score must be between 0 and 20.'</t>
  </si>
  <si>
    <t xml:space="preserve">EVL-009</t>
  </si>
  <si>
    <t xml:space="preserve">Rationale required for every criterion</t>
  </si>
  <si>
    <t xml:space="preserve">1. Submit with one rationale empty</t>
  </si>
  <si>
    <t xml:space="preserve">'A rationale is required for every criterion before submitting. Missing: ...'</t>
  </si>
  <si>
    <t xml:space="preserve">EVL-010</t>
  </si>
  <si>
    <t xml:space="preserve">Locked evaluation needs Super Admin unlock</t>
  </si>
  <si>
    <t xml:space="preserve">Evaluation Committee / Super Admin</t>
  </si>
  <si>
    <t xml:space="preserve">Locked row</t>
  </si>
  <si>
    <t xml:space="preserve">1. Member edits
2. Super Admin 'Unlock for Correction'
3. Member edits</t>
  </si>
  <si>
    <t xml:space="preserve">First refused '...submitted and locked...'; after unlock editable; revision recorded</t>
  </si>
  <si>
    <t xml:space="preserve">EVL-011</t>
  </si>
  <si>
    <t xml:space="preserve">RMT cannot score</t>
  </si>
  <si>
    <t xml:space="preserve">1. Score via API</t>
  </si>
  <si>
    <t xml:space="preserve">403 'Only Evaluation Committee members (or Super Admin) can score bids.'</t>
  </si>
  <si>
    <t xml:space="preserve">EVL-012</t>
  </si>
  <si>
    <t xml:space="preserve">Non-member cannot score</t>
  </si>
  <si>
    <t xml:space="preserve">Evaluation Committee (other)</t>
  </si>
  <si>
    <t xml:space="preserve">1. Score bid of a tender not assigned</t>
  </si>
  <si>
    <t xml:space="preserve">'You are not assigned to this tender's Evaluation Committee.'</t>
  </si>
  <si>
    <t xml:space="preserve">EVL-013</t>
  </si>
  <si>
    <t xml:space="preserve">Financial</t>
  </si>
  <si>
    <t xml:space="preserve">Open financial stage after technical quorum</t>
  </si>
  <si>
    <t xml:space="preserve">All technical bids reached quorum</t>
  </si>
  <si>
    <t xml:space="preserve">1. 'Open Financial Stage' -&gt; confirm</t>
  </si>
  <si>
    <t xml:space="preserve">'Financial stage opened for N bidder(s).'</t>
  </si>
  <si>
    <t xml:space="preserve">EVL-014</t>
  </si>
  <si>
    <t xml:space="preserve">Open financial stage too early</t>
  </si>
  <si>
    <t xml:space="preserve">Some bids not evaluated</t>
  </si>
  <si>
    <t xml:space="preserve">1. Open Financial Stage</t>
  </si>
  <si>
    <t xml:space="preserve">409 'Not all technical bids have been evaluated yet...'</t>
  </si>
  <si>
    <t xml:space="preserve">EVL-015</t>
  </si>
  <si>
    <t xml:space="preserve">Financial score auto-calculated</t>
  </si>
  <si>
    <t xml:space="preserve">Two passing bids 100,000 and 125,000</t>
  </si>
  <si>
    <t xml:space="preserve">1. Finalize financial scores</t>
  </si>
  <si>
    <t xml:space="preserve">Lowest = 100; other = 80 (lowest/price x 100); manual value ignored</t>
  </si>
  <si>
    <t xml:space="preserve">EVL-016</t>
  </si>
  <si>
    <t xml:space="preserve">Below-threshold bid not financially scored</t>
  </si>
  <si>
    <t xml:space="preserve">Bid technical avg below threshold</t>
  </si>
  <si>
    <t xml:space="preserve">1. Score financial</t>
  </si>
  <si>
    <t xml:space="preserve">'This bid has not cleared the technical threshold (70%) yet.'</t>
  </si>
  <si>
    <t xml:space="preserve">EVL-017</t>
  </si>
  <si>
    <t xml:space="preserve">Ranking</t>
  </si>
  <si>
    <t xml:space="preserve">Combined score and ranking</t>
  </si>
  <si>
    <t xml:space="preserve">RMT / Super Admin</t>
  </si>
  <si>
    <t xml:space="preserve">Evaluation complete</t>
  </si>
  <si>
    <t xml:space="preserve">1. Committee Scores tab</t>
  </si>
  <si>
    <t xml:space="preserve">Combined = tech% x 70 + fin x 30; ties broken by female-headed target, gender score, lower price</t>
  </si>
  <si>
    <t xml:space="preserve">EVL-018</t>
  </si>
  <si>
    <t xml:space="preserve">Recommend</t>
  </si>
  <si>
    <t xml:space="preserve">Members suggest winner; consensus shown</t>
  </si>
  <si>
    <t xml:space="preserve">1. Each member 'Suggest winner' for same bid</t>
  </si>
  <si>
    <t xml:space="preserve">Consensus 'Agreed'</t>
  </si>
  <si>
    <t xml:space="preserve">EVL-019</t>
  </si>
  <si>
    <t xml:space="preserve">Suggestion before evaluation complete</t>
  </si>
  <si>
    <t xml:space="preserve">1. Suggest winner early</t>
  </si>
  <si>
    <t xml:space="preserve">'Winner suggestions open only after the full technical and financial evaluation is complete.'</t>
  </si>
  <si>
    <t xml:space="preserve">EVL-020</t>
  </si>
  <si>
    <t xml:space="preserve">Vendor cannot read recommendations</t>
  </si>
  <si>
    <t xml:space="preserve">1. GET /tender-award-recommendations/</t>
  </si>
  <si>
    <t xml:space="preserve">Refused. (Code review: no role filter — likely FAIL)</t>
  </si>
  <si>
    <t xml:space="preserve">EVL-021</t>
  </si>
  <si>
    <t xml:space="preserve">Comment</t>
  </si>
  <si>
    <t xml:space="preserve">RMT official comment only after completion</t>
  </si>
  <si>
    <t xml:space="preserve">Evaluation incomplete</t>
  </si>
  <si>
    <t xml:space="preserve">1. Add RBF Official Evaluation Comment</t>
  </si>
  <si>
    <t xml:space="preserve">'The Evaluation Committee's scores are not complete yet...'</t>
  </si>
  <si>
    <t xml:space="preserve">AWD-001</t>
  </si>
  <si>
    <t xml:space="preserve">Intent</t>
  </si>
  <si>
    <t xml:space="preserve">RMT requests intent to award for agreed bid</t>
  </si>
  <si>
    <t xml:space="preserve">1. Award Management -&gt; 'Award' -&gt; select winning bid -&gt; submit</t>
  </si>
  <si>
    <t xml:space="preserve">'Intent to Award requested... A Super Admin must approve it...'; Super Admins notified</t>
  </si>
  <si>
    <t xml:space="preserve">AWD-002</t>
  </si>
  <si>
    <t xml:space="preserve">Intent before evaluation complete</t>
  </si>
  <si>
    <t xml:space="preserve">1. Request intent</t>
  </si>
  <si>
    <t xml:space="preserve">409 'Finalize the Evaluation Committee scores before issuing an intent to award.'</t>
  </si>
  <si>
    <t xml:space="preserve">AWD-003</t>
  </si>
  <si>
    <t xml:space="preserve">Non-recommended bid needs EC override reason</t>
  </si>
  <si>
    <t xml:space="preserve">Committee agreed on bid A</t>
  </si>
  <si>
    <t xml:space="preserve">1. Request intent for bid B without reason
2. With reason</t>
  </si>
  <si>
    <t xml:space="preserve">First refused with EC override message; second accepted and reason shown to Super Admin</t>
  </si>
  <si>
    <t xml:space="preserve">AWD-004</t>
  </si>
  <si>
    <t xml:space="preserve">Withdraw pending request</t>
  </si>
  <si>
    <t xml:space="preserve">Pending request</t>
  </si>
  <si>
    <t xml:space="preserve">1. 'Withdraw Request'</t>
  </si>
  <si>
    <t xml:space="preserve">'Intent to Award request withdrawn.'</t>
  </si>
  <si>
    <t xml:space="preserve">AWD-005</t>
  </si>
  <si>
    <t xml:space="preserve">Super Admin approves intent</t>
  </si>
  <si>
    <t xml:space="preserve">Pending intent</t>
  </si>
  <si>
    <t xml:space="preserve">1. Intent to Award Approvals -&gt; 'Approve &amp; Issue'</t>
  </si>
  <si>
    <t xml:space="preserve">Tender Standstill; winner 'Notice of Best Evaluated Bidder'; others 'Regret Letter'; cooling-off end date set</t>
  </si>
  <si>
    <t xml:space="preserve">AWD-006</t>
  </si>
  <si>
    <t xml:space="preserve">Send back needs notes</t>
  </si>
  <si>
    <t xml:space="preserve">1. 'Send Back to RBF' without notes</t>
  </si>
  <si>
    <t xml:space="preserve">'Notes are required when requesting changes — tell the RBF what to revise.'</t>
  </si>
  <si>
    <t xml:space="preserve">AWD-007</t>
  </si>
  <si>
    <t xml:space="preserve">Only Super Admin decides intent</t>
  </si>
  <si>
    <t xml:space="preserve">1. approve_intent_award as RMT</t>
  </si>
  <si>
    <t xml:space="preserve">'Only the Platform Administrator (Super Admin) can decide an intent to award request.'</t>
  </si>
  <si>
    <t xml:space="preserve">AWD-008</t>
  </si>
  <si>
    <t xml:space="preserve">Challenge</t>
  </si>
  <si>
    <t xml:space="preserve">Losing vendor files challenge</t>
  </si>
  <si>
    <t xml:space="preserve">Standstill; vendor lost</t>
  </si>
  <si>
    <t xml:space="preserve">1. My Bids -&gt; 'Challenge Award Decision' -&gt; grounds -&gt; 'Submit Challenge'</t>
  </si>
  <si>
    <t xml:space="preserve">'Your challenge has been filed...'; tender Disputed; bidders 'Award Process Paused'</t>
  </si>
  <si>
    <t xml:space="preserve">AWD-009</t>
  </si>
  <si>
    <t xml:space="preserve">Challenge in another vendor's name</t>
  </si>
  <si>
    <t xml:space="preserve">Standstill</t>
  </si>
  <si>
    <t xml:space="preserve">1. POST create_challenge with filed_by_vendor_id = vendor C</t>
  </si>
  <si>
    <t xml:space="preserve">Refused. (Code review: client-supplied id accepted — likely FAIL)</t>
  </si>
  <si>
    <t xml:space="preserve">AWD-010</t>
  </si>
  <si>
    <t xml:space="preserve">Dismiss challenge restores standstill</t>
  </si>
  <si>
    <t xml:space="preserve">One open challenge</t>
  </si>
  <si>
    <t xml:space="preserve">1. Review Challenge -&gt; dismissed with notes</t>
  </si>
  <si>
    <t xml:space="preserve">Back to Standstill with remaining cooling-off; challenger 'Challenge Dismissed'</t>
  </si>
  <si>
    <t xml:space="preserve">AWD-011</t>
  </si>
  <si>
    <t xml:space="preserve">Dismissing one of two open challenges</t>
  </si>
  <si>
    <t xml:space="preserve">Two open challenges</t>
  </si>
  <si>
    <t xml:space="preserve">1. Dismiss one</t>
  </si>
  <si>
    <t xml:space="preserve">Tender should stay Disputed. (Code review: returns to Standstill — likely FAIL)</t>
  </si>
  <si>
    <t xml:space="preserve">AWD-012</t>
  </si>
  <si>
    <t xml:space="preserve">Uphold challenge</t>
  </si>
  <si>
    <t xml:space="preserve">Open challenge</t>
  </si>
  <si>
    <t xml:space="preserve">1. Resolve upheld</t>
  </si>
  <si>
    <t xml:space="preserve">Intent revoked; Evaluation; new pending request for challenger; notifications sent</t>
  </si>
  <si>
    <t xml:space="preserve">AWD-013</t>
  </si>
  <si>
    <t xml:space="preserve">Controls</t>
  </si>
  <si>
    <t xml:space="preserve">Pause and revoke intent</t>
  </si>
  <si>
    <t xml:space="preserve">1. 'Pause Award'
2. 'Revoke Intent'</t>
  </si>
  <si>
    <t xml:space="preserve">'Award process paused. Cooling-off clock has been frozen.'; revoke -&gt; Evaluation; revoke message wording correct (code review: wrongly mentions upheld challenge)</t>
  </si>
  <si>
    <t xml:space="preserve">AWD-014</t>
  </si>
  <si>
    <t xml:space="preserve">Adjust cooling-off</t>
  </si>
  <si>
    <t xml:space="preserve">1. Extend 3 days
2. Shorten leaving &lt; 1 hour</t>
  </si>
  <si>
    <t xml:space="preserve">Extended; '...would leave less than 1 hour before the deadline.'</t>
  </si>
  <si>
    <t xml:space="preserve">AWD-015</t>
  </si>
  <si>
    <t xml:space="preserve">Confirm</t>
  </si>
  <si>
    <t xml:space="preserve">Confirm final award after cooling-off</t>
  </si>
  <si>
    <t xml:space="preserve">Cooling-off expired; no dispute</t>
  </si>
  <si>
    <t xml:space="preserve">1. 'Confirm Final Award'</t>
  </si>
  <si>
    <t xml:space="preserve">Tender Awarded; winning bid Awarded; others Not Awarded; winner notified; PBA contract Generated</t>
  </si>
  <si>
    <t xml:space="preserve">AWD-016</t>
  </si>
  <si>
    <t xml:space="preserve">Confirm during cooling-off / dispute</t>
  </si>
  <si>
    <t xml:space="preserve">1. Confirm before expiry
2. Confirm while Disputed</t>
  </si>
  <si>
    <t xml:space="preserve">'Cooling-off period has not yet expired.' / 'Cannot finalize award while a dispute is active...'</t>
  </si>
  <si>
    <t xml:space="preserve">AWD-017</t>
  </si>
  <si>
    <t xml:space="preserve">Lot-wise award</t>
  </si>
  <si>
    <t xml:space="preserve">Lot-wise tender</t>
  </si>
  <si>
    <t xml:space="preserve">1. award_lot for each lot
2. Approve
3. Confirm each lot after cooling-off</t>
  </si>
  <si>
    <t xml:space="preserve">Each lot Awarded; tender Awarded only when all lots are; one contract per lot</t>
  </si>
  <si>
    <t xml:space="preserve">AWD-018</t>
  </si>
  <si>
    <t xml:space="preserve">Pipeline</t>
  </si>
  <si>
    <t xml:space="preserve">Award pipeline restricted</t>
  </si>
  <si>
    <t xml:space="preserve">Vendor / TAC</t>
  </si>
  <si>
    <t xml:space="preserve">1. GET tenders_ready_for_award</t>
  </si>
  <si>
    <t xml:space="preserve">'Only the RBF Management Team or Super Admin can view the award pipeline.'</t>
  </si>
  <si>
    <t xml:space="preserve">BLK-001</t>
  </si>
  <si>
    <t xml:space="preserve">DoE recommends blacklisting in own region</t>
  </si>
  <si>
    <t xml:space="preserve">DoE Officer</t>
  </si>
  <si>
    <t xml:space="preserve">Vendor operating in DoE region</t>
  </si>
  <si>
    <t xml:space="preserve">1. Blacklisting -&gt; recommend with justification &gt;= 30 chars</t>
  </si>
  <si>
    <t xml:space="preserve">RMT and Admin notified 'Blacklisting recommended by DoE'</t>
  </si>
  <si>
    <t xml:space="preserve">BLK-002</t>
  </si>
  <si>
    <t xml:space="preserve">DoE rules</t>
  </si>
  <si>
    <t xml:space="preserve">1. Vendor outside region
2. Justification 20 chars
3. Second pending recommendation</t>
  </si>
  <si>
    <t xml:space="preserve">'You can only recommend vendors operating in your region.' / 'Provide a justification of at least 30 characters.' / 'You already have a pending recommendation for this vendor.'</t>
  </si>
  <si>
    <t xml:space="preserve">BLK-003</t>
  </si>
  <si>
    <t xml:space="preserve">Initiate</t>
  </si>
  <si>
    <t xml:space="preserve">RMT initiates case</t>
  </si>
  <si>
    <t xml:space="preserve">Active vendor with project and claims</t>
  </si>
  <si>
    <t xml:space="preserve">1. 'Initiate Blacklisting' -&gt; reason, cooling-off 1 day, justification</t>
  </si>
  <si>
    <t xml:space="preserve">Case Initiated; vendor Suspended (bids blocked, verification paused); vendor 'Notice of Intent to Blacklist'</t>
  </si>
  <si>
    <t xml:space="preserve">BLK-004</t>
  </si>
  <si>
    <t xml:space="preserve">Only one active case; vendors only</t>
  </si>
  <si>
    <t xml:space="preserve">1. Initiate again
2. Initiate on a TAC user</t>
  </si>
  <si>
    <t xml:space="preserve">'This vendor already has an active blacklisting case.' / 'Only vendor accounts can be blacklisted.'</t>
  </si>
  <si>
    <t xml:space="preserve">BLK-005</t>
  </si>
  <si>
    <t xml:space="preserve">Four-eyes: initiator cannot review</t>
  </si>
  <si>
    <t xml:space="preserve">Auditor</t>
  </si>
  <si>
    <t xml:space="preserve">Auditor initiated case</t>
  </si>
  <si>
    <t xml:space="preserve">1. Same Auditor reviews</t>
  </si>
  <si>
    <t xml:space="preserve">'Four-eyes control: the initiator cannot review the same blacklisting case.'</t>
  </si>
  <si>
    <t xml:space="preserve">BLK-006</t>
  </si>
  <si>
    <t xml:space="preserve">Super Admin confirms after cooling-off</t>
  </si>
  <si>
    <t xml:space="preserve">Under Review; cooling-off passed</t>
  </si>
  <si>
    <t xml:space="preserve">1. 'Confirm Blacklist'</t>
  </si>
  <si>
    <t xml:space="preserve">Vendor Blacklisted; projects Halted; open claims &amp; disbursements Held/Audit; verification Terminated; identifiers block re-registration</t>
  </si>
  <si>
    <t xml:space="preserve">BLK-007</t>
  </si>
  <si>
    <t xml:space="preserve">Confirm during cooling-off / by initiator</t>
  </si>
  <si>
    <t xml:space="preserve">1. Confirm early
2. Confirm where Super Admin was reviewer</t>
  </si>
  <si>
    <t xml:space="preserve">'Cooling-off period is still active.' / 'Four-eyes control: the confirmer must be different...'</t>
  </si>
  <si>
    <t xml:space="preserve">BLK-008</t>
  </si>
  <si>
    <t xml:space="preserve">Reject</t>
  </si>
  <si>
    <t xml:space="preserve">Reject case reactivates vendor</t>
  </si>
  <si>
    <t xml:space="preserve">TAC</t>
  </si>
  <si>
    <t xml:space="preserve">Case already Blacklisted</t>
  </si>
  <si>
    <t xml:space="preserve">1. Reject</t>
  </si>
  <si>
    <t xml:space="preserve">Should be refused for a confirmed case. (Code review: no status guard; vendor reactivated while projects stay Halted — likely FAIL)</t>
  </si>
  <si>
    <t xml:space="preserve">BLK-009</t>
  </si>
  <si>
    <t xml:space="preserve">Reinstate</t>
  </si>
  <si>
    <t xml:space="preserve">Reinstate blacklisted vendor</t>
  </si>
  <si>
    <t xml:space="preserve">Case Blacklisted</t>
  </si>
  <si>
    <t xml:space="preserve">1. 'Reinstate Vendor'</t>
  </si>
  <si>
    <t xml:space="preserve">Case Reinstated; vendor Registered; 'Vendor Blacklisting Released'; per policy table new bids blocked until re-qualified (code review: not blocked)</t>
  </si>
  <si>
    <t xml:space="preserve">BLK-010</t>
  </si>
  <si>
    <t xml:space="preserve">Appeal</t>
  </si>
  <si>
    <t xml:space="preserve">Vendor appeal and resolution</t>
  </si>
  <si>
    <t xml:space="preserve">Vendor / Auditor</t>
  </si>
  <si>
    <t xml:space="preserve">Blacklisted</t>
  </si>
  <si>
    <t xml:space="preserve">1. Vendor 'Submit Appeal'
2. Auditor 'Resolve Appeal'</t>
  </si>
  <si>
    <t xml:space="preserve">Appeal Resolved; document whether case changes (code review: no effect)</t>
  </si>
  <si>
    <t xml:space="preserve">BLK-011</t>
  </si>
  <si>
    <t xml:space="preserve">Only RMT/Auditor initiate; direct edits blocked</t>
  </si>
  <si>
    <t xml:space="preserve">TAC / Vendor</t>
  </si>
  <si>
    <t xml:space="preserve">1. Initiate as TAC
2. POST /blacklisting-cases/ directly</t>
  </si>
  <si>
    <t xml:space="preserve">'Only RBF Management Team or Auditors can initiate blacklisting.' / 'Use the initiate_blacklisting vendor action.'</t>
  </si>
  <si>
    <t xml:space="preserve">CON-001</t>
  </si>
  <si>
    <t xml:space="preserve">Generate PBA</t>
  </si>
  <si>
    <t xml:space="preserve">RMT generates PBA for an awarded tender</t>
  </si>
  <si>
    <t xml:space="preserve">Tender status = Awarded; no contract generated yet</t>
  </si>
  <si>
    <t xml:space="preserve">1. Log in as RMT
2. Open Award Management
3. Select the awarded tender/vendor
4. Generate the PBA package</t>
  </si>
  <si>
    <t xml:space="preserve">Awarded tender</t>
  </si>
  <si>
    <t xml:space="preserve">Contract created with status Generated; vendor receives in-app notification 'PBA Package Ready: {ref}'</t>
  </si>
  <si>
    <t xml:space="preserve">CON-002</t>
  </si>
  <si>
    <t xml:space="preserve">PBA cannot be generated for a tender that is not Awarded</t>
  </si>
  <si>
    <t xml:space="preserve">Tender in Published / Evaluation status</t>
  </si>
  <si>
    <t xml:space="preserve">1. Attempt to generate a PBA for the tender (UI or API POST tender-contracts/generate)</t>
  </si>
  <si>
    <t xml:space="preserve">Non-awarded tender</t>
  </si>
  <si>
    <t xml:space="preserve">Request rejected with a validation error; no contract created</t>
  </si>
  <si>
    <t xml:space="preserve">CON-003</t>
  </si>
  <si>
    <t xml:space="preserve">Vendor cannot generate a PBA</t>
  </si>
  <si>
    <t xml:space="preserve">Logged in as Vendor</t>
  </si>
  <si>
    <t xml:space="preserve">1. Call POST /api/tender-contracts/generate as the vendor</t>
  </si>
  <si>
    <t xml:space="preserve">Vendor token</t>
  </si>
  <si>
    <t xml:space="preserve">403 permission denied; no contract created</t>
  </si>
  <si>
    <t xml:space="preserve">CON-004</t>
  </si>
  <si>
    <t xml:space="preserve">Sign contract</t>
  </si>
  <si>
    <t xml:space="preserve">Vendor uploads signed agreement (valid PDF)</t>
  </si>
  <si>
    <t xml:space="preserve">Contract status = Generated</t>
  </si>
  <si>
    <t xml:space="preserve">1. Log in as Vendor
2. Open Contracting
3. Download the PBA
4. Click 'Submit signed agreement'
5. Upload signed PDF</t>
  </si>
  <si>
    <t xml:space="preserve">Signed PDF, 2 MB</t>
  </si>
  <si>
    <t xml:space="preserve">Contract status = Submitted; RMT receives 'Contract Uploaded: {ref}'</t>
  </si>
  <si>
    <t xml:space="preserve">CON-005</t>
  </si>
  <si>
    <t xml:space="preserve">Signed agreement must be a PDF</t>
  </si>
  <si>
    <t xml:space="preserve">1. Click 'Submit signed agreement'
2. Upload a .docx or .jpg file</t>
  </si>
  <si>
    <t xml:space="preserve">signed.docx</t>
  </si>
  <si>
    <t xml:space="preserve">Error 'Signed contract must be uploaded as a PDF.'; status stays Generated</t>
  </si>
  <si>
    <t xml:space="preserve">CON-006</t>
  </si>
  <si>
    <t xml:space="preserve">Signed agreement larger than 10 MB is rejected</t>
  </si>
  <si>
    <t xml:space="preserve">1. Upload a PDF of 10.5 MB</t>
  </si>
  <si>
    <t xml:space="preserve">PDF 10.5 MB (also test exactly 10 MB = accepted)</t>
  </si>
  <si>
    <t xml:space="preserve">Error 'Signed contract PDF must not exceed 10MB.'; 10 MB file is accepted</t>
  </si>
  <si>
    <t xml:space="preserve">CON-007</t>
  </si>
  <si>
    <t xml:space="preserve">Vendor cannot sign another vendor's contract</t>
  </si>
  <si>
    <t xml:space="preserve">Two vendors with generated contracts</t>
  </si>
  <si>
    <t xml:space="preserve">1. As Vendor A call POST tender-contracts/{vendorB_contract_id}/sign/</t>
  </si>
  <si>
    <t xml:space="preserve">Vendor A token, Vendor B contract id</t>
  </si>
  <si>
    <t xml:space="preserve">403/404; Vendor B contract unchanged</t>
  </si>
  <si>
    <t xml:space="preserve">CON-008</t>
  </si>
  <si>
    <t xml:space="preserve">Approve contract</t>
  </si>
  <si>
    <t xml:space="preserve">RMT approves submitted contract</t>
  </si>
  <si>
    <t xml:space="preserve">Contract status = Submitted</t>
  </si>
  <si>
    <t xml:space="preserve">1. Log in as RMT
2. Award Management -&gt; Contract Review
3. Click 'Approve contract'</t>
  </si>
  <si>
    <t xml:space="preserve">Contract status = Approved; vendor notified 'Contract Approved: ...'; 'Project Assignment' becomes available</t>
  </si>
  <si>
    <t xml:space="preserve">CON-009</t>
  </si>
  <si>
    <t xml:space="preserve">Reject contract</t>
  </si>
  <si>
    <t xml:space="preserve">RMT rejects contract with a reason</t>
  </si>
  <si>
    <t xml:space="preserve">1. Contract Review -&gt; enter 'Reason for rejection'
2. Click 'Reject contract'</t>
  </si>
  <si>
    <t xml:space="preserve">Reason: 'Signature page missing'</t>
  </si>
  <si>
    <t xml:space="preserve">Contract returns to Generated; vendor notified 'Contract Rejected: ...' with reason; vendor can upload again</t>
  </si>
  <si>
    <t xml:space="preserve">CON-010</t>
  </si>
  <si>
    <t xml:space="preserve">Reject without reason is blocked</t>
  </si>
  <si>
    <t xml:space="preserve">1. Leave reason empty
2. Click 'Reject contract'</t>
  </si>
  <si>
    <t xml:space="preserve">Empty reason</t>
  </si>
  <si>
    <t xml:space="preserve">Validation error; contract status unchanged</t>
  </si>
  <si>
    <t xml:space="preserve">CON-011</t>
  </si>
  <si>
    <t xml:space="preserve">Vendor/TAC/PSC cannot approve a contract</t>
  </si>
  <si>
    <t xml:space="preserve">1. Call the approve endpoint with each non-RMT role</t>
  </si>
  <si>
    <t xml:space="preserve">403 for every non-RMT/Admin role</t>
  </si>
  <si>
    <t xml:space="preserve">ASG-001</t>
  </si>
  <si>
    <t xml:space="preserve">Assign project</t>
  </si>
  <si>
    <t xml:space="preserve">RMT assigns project with default milestone split</t>
  </si>
  <si>
    <t xml:space="preserve">Contract Approved with signed file; no project yet</t>
  </si>
  <si>
    <t xml:space="preserve">1. Award Management -&gt; Project Assignment -&gt; 'Assign project'
2. Fill Milestone Assignment form, keep default split
3. Click 'Save &amp; Assign Project'</t>
  </si>
  <si>
    <t xml:space="preserve">Duration 12, target 5, SHS, energy 20000, district Maseru, manual</t>
  </si>
  <si>
    <t xml:space="preserve">Project created, status Setup Pending; milestones M1 0% (Pending), M2 50% (Locked), M3 50% (Locked); vendor notified 'Project Assigned'</t>
  </si>
  <si>
    <t xml:space="preserve">ASG-002</t>
  </si>
  <si>
    <t xml:space="preserve">Default disbursement split shown as 0 / 50 / 50</t>
  </si>
  <si>
    <t xml:space="preserve">Regression</t>
  </si>
  <si>
    <t xml:space="preserve">Contract Approved</t>
  </si>
  <si>
    <t xml:space="preserve">1. Open the Milestone Assignment form</t>
  </si>
  <si>
    <t xml:space="preserve">M1 = 0, M2 = 50, M3 = 50 pre-filled; preview shows M1 amount 0.00, M2 and M3 = 50% of contract value each</t>
  </si>
  <si>
    <t xml:space="preserve">ASG-003</t>
  </si>
  <si>
    <t xml:space="preserve">Disbursement must total 100%</t>
  </si>
  <si>
    <t xml:space="preserve">1. Enter M1 10, M2 50, M3 30
2. Save &amp; Assign Project</t>
  </si>
  <si>
    <t xml:space="preserve">10/50/30 (total 90)</t>
  </si>
  <si>
    <t xml:space="preserve">Error 'Milestone disbursement percentages must total 100% (currently 90%).'</t>
  </si>
  <si>
    <t xml:space="preserve">ASG-004</t>
  </si>
  <si>
    <t xml:space="preserve">M2 and M3 must be at least 1%</t>
  </si>
  <si>
    <t xml:space="preserve">1. Enter M1 0, M2 0, M3 100
2. Save</t>
  </si>
  <si>
    <t xml:space="preserve">0/0/100 and 0/100/0</t>
  </si>
  <si>
    <t xml:space="preserve">Error 'Milestones 2 and 3 must each disburse at least 1%.'; project not created</t>
  </si>
  <si>
    <t xml:space="preserve">ASG-005</t>
  </si>
  <si>
    <t xml:space="preserve">Custom split with non-zero M1 is accepted</t>
  </si>
  <si>
    <t xml:space="preserve">1. Enter M1 20, M2 50, M3 30
2. Save &amp; Assign Project</t>
  </si>
  <si>
    <t xml:space="preserve">20/50/30</t>
  </si>
  <si>
    <t xml:space="preserve">Project created; milestone amounts = contract value x %; M3 absorbs rounding</t>
  </si>
  <si>
    <t xml:space="preserve">ASG-006</t>
  </si>
  <si>
    <t xml:space="preserve">M3 installation % cannot be lower than M2</t>
  </si>
  <si>
    <t xml:space="preserve">1. Set M2 installation % = 90, M3 = 80
2. Save</t>
  </si>
  <si>
    <t xml:space="preserve">90 / 80</t>
  </si>
  <si>
    <t xml:space="preserve">Error 'Milestone 3 installation requirement cannot be lower than Milestone 2.'</t>
  </si>
  <si>
    <t xml:space="preserve">ASG-007</t>
  </si>
  <si>
    <t xml:space="preserve">At least one district required</t>
  </si>
  <si>
    <t xml:space="preserve">1. Clear all districts
2. Save</t>
  </si>
  <si>
    <t xml:space="preserve">Error 'Select at least one district.'</t>
  </si>
  <si>
    <t xml:space="preserve">ASG-008</t>
  </si>
  <si>
    <t xml:space="preserve">Technology must be one of the tender's technologies</t>
  </si>
  <si>
    <t xml:space="preserve">Tender technologies = SHS only</t>
  </si>
  <si>
    <t xml:space="preserve">1. Submit with technology GMG via API</t>
  </si>
  <si>
    <t xml:space="preserve">technology_type = GMG</t>
  </si>
  <si>
    <t xml:space="preserve">Validation error; project not created</t>
  </si>
  <si>
    <t xml:space="preserve">ASG-009</t>
  </si>
  <si>
    <t xml:space="preserve">Installation target and energy target minimums</t>
  </si>
  <si>
    <t xml:space="preserve">1. Enter installation target 0
2. Enter energy target 0
3. Save</t>
  </si>
  <si>
    <t xml:space="preserve">target 0, energy 0</t>
  </si>
  <si>
    <t xml:space="preserve">Validation errors (target &gt;= 1, energy &gt;= 0.01)</t>
  </si>
  <si>
    <t xml:space="preserve">ASG-010</t>
  </si>
  <si>
    <t xml:space="preserve">Inclusion targets read-only for RMT</t>
  </si>
  <si>
    <t xml:space="preserve">1. Try to change female/vulnerable/low-income target in the form or via API</t>
  </si>
  <si>
    <t xml:space="preserve">female_target_pct = 20</t>
  </si>
  <si>
    <t xml:space="preserve">Fields read-only in UI; API returns 'Only the Super Admin can change inclusion targets.'</t>
  </si>
  <si>
    <t xml:space="preserve">ASG-011</t>
  </si>
  <si>
    <t xml:space="preserve">Super Admin cannot assign a project (RMT only)</t>
  </si>
  <si>
    <t xml:space="preserve">1. As Super Admin call POST tender-contracts/{id}/assign/</t>
  </si>
  <si>
    <t xml:space="preserve">403; assignment is RMT-only</t>
  </si>
  <si>
    <t xml:space="preserve">ASG-012</t>
  </si>
  <si>
    <t xml:space="preserve">Cannot assign before contract approval</t>
  </si>
  <si>
    <t xml:space="preserve">1. Attempt assignment</t>
  </si>
  <si>
    <t xml:space="preserve">Error 'Contract status must be approved before assigning milestones.'</t>
  </si>
  <si>
    <t xml:space="preserve">ASG-013</t>
  </si>
  <si>
    <t xml:space="preserve">Cannot assign the same contract twice</t>
  </si>
  <si>
    <t xml:space="preserve">Project already assigned for the contract</t>
  </si>
  <si>
    <t xml:space="preserve">1. Attempt assignment again</t>
  </si>
  <si>
    <t xml:space="preserve">Error 'This contract already has an assigned project.'</t>
  </si>
  <si>
    <t xml:space="preserve">ASG-014</t>
  </si>
  <si>
    <t xml:space="preserve">Project duration options</t>
  </si>
  <si>
    <t xml:space="preserve">1. Open duration dropdown
2. Try 9 via API</t>
  </si>
  <si>
    <t xml:space="preserve">6, 12, 18, 9</t>
  </si>
  <si>
    <t xml:space="preserve">Only 6/12/18 offered; 9 rejected by API</t>
  </si>
  <si>
    <t xml:space="preserve">SET-001</t>
  </si>
  <si>
    <t xml:space="preserve">Vendor setup</t>
  </si>
  <si>
    <t xml:space="preserve">Vendor saves a setup draft</t>
  </si>
  <si>
    <t xml:space="preserve">Project status Setup Pending</t>
  </si>
  <si>
    <t xml:space="preserve">1. Projects Hub -&gt; project -&gt; 'Complete Project Setup'
2. Fill Section A partially
3. Click 'Save Draft'</t>
  </si>
  <si>
    <t xml:space="preserve">Draft saved; reloading shows saved values; project status unchanged</t>
  </si>
  <si>
    <t xml:space="preserve">SET-002</t>
  </si>
  <si>
    <t xml:space="preserve">Vendor submits complete setup (Manual verification)</t>
  </si>
  <si>
    <t xml:space="preserve">Contract Approved; Setup Pending</t>
  </si>
  <si>
    <t xml:space="preserve">1. Fill Sections A-D with all files
2. Tick all 5 checklist items
3. Tick manual verification confirmation
4. Click 'Submit Project Setup'</t>
  </si>
  <si>
    <t xml:space="preserve">PDF/DOCX files &lt;= 5 MB; brand/model = awarded bid; tier 2</t>
  </si>
  <si>
    <t xml:space="preserve">Project status Setup Under Review; banner '...awaiting RMT review.'; RMT notified 'Project Setup Awaiting Review'</t>
  </si>
  <si>
    <t xml:space="preserve">SET-003</t>
  </si>
  <si>
    <t xml:space="preserve">IoT project requires meter API endpoint and token</t>
  </si>
  <si>
    <t xml:space="preserve">Verification method = IoT</t>
  </si>
  <si>
    <t xml:space="preserve">1. Leave meter API endpoint/token empty
2. Submit</t>
  </si>
  <si>
    <t xml:space="preserve">Error 'Meter API endpoint is required for IoT verification.'</t>
  </si>
  <si>
    <t xml:space="preserve">SET-004</t>
  </si>
  <si>
    <t xml:space="preserve">Manual project requires confirmation tick</t>
  </si>
  <si>
    <t xml:space="preserve">Verification method = Manual</t>
  </si>
  <si>
    <t xml:space="preserve">1. Leave confirmation unticked
2. Submit</t>
  </si>
  <si>
    <t xml:space="preserve">Error 'Please confirm the manual verification method before submitting.'</t>
  </si>
  <si>
    <t xml:space="preserve">SET-005</t>
  </si>
  <si>
    <t xml:space="preserve">All checklist items must be ticked</t>
  </si>
  <si>
    <t xml:space="preserve">Setup otherwise complete</t>
  </si>
  <si>
    <t xml:space="preserve">1. Untick 'safety'
2. Submit</t>
  </si>
  <si>
    <t xml:space="preserve">Error 'All pre-deployment checklist items must be completed.'</t>
  </si>
  <si>
    <t xml:space="preserve">SET-006</t>
  </si>
  <si>
    <t xml:space="preserve">Required fields enforced</t>
  </si>
  <si>
    <t xml:space="preserve">Setup Pending</t>
  </si>
  <si>
    <t xml:space="preserve">1. Remove insurance certificate
2. Submit</t>
  </si>
  <si>
    <t xml:space="preserve">Field error 'This field is required before submitting setup.'</t>
  </si>
  <si>
    <t xml:space="preserve">SET-007</t>
  </si>
  <si>
    <t xml:space="preserve">Device brand must match awarded bid</t>
  </si>
  <si>
    <t xml:space="preserve">Awarded bid brand = SolarCo</t>
  </si>
  <si>
    <t xml:space="preserve">1. Enter brand 'OtherBrand'
2. Submit</t>
  </si>
  <si>
    <t xml:space="preserve">OtherBrand</t>
  </si>
  <si>
    <t xml:space="preserve">Error "Device brand must match the awarded bid's device brand: 'SolarCo'"</t>
  </si>
  <si>
    <t xml:space="preserve">SET-008</t>
  </si>
  <si>
    <t xml:space="preserve">Setup file type and size limits</t>
  </si>
  <si>
    <t xml:space="preserve">1. Upload .jpg as team roster
2. Upload 5.1 MB PDF
3. Upload exactly 5 MB PDF</t>
  </si>
  <si>
    <t xml:space="preserve">.jpg and 5.1 MB rejected; 5 MB PDF accepted</t>
  </si>
  <si>
    <t xml:space="preserve">SET-009</t>
  </si>
  <si>
    <t xml:space="preserve">Work schedule end before start rejected</t>
  </si>
  <si>
    <t xml:space="preserve">1. Start 2026-11-10, End 2026-11-01
2. Submit</t>
  </si>
  <si>
    <t xml:space="preserve">Validation error on work schedule end</t>
  </si>
  <si>
    <t xml:space="preserve">SET-010</t>
  </si>
  <si>
    <t xml:space="preserve">Tech tier must be 1-5</t>
  </si>
  <si>
    <t xml:space="preserve">1. Submit tier 0 and tier 6 via API</t>
  </si>
  <si>
    <t xml:space="preserve">Both rejected; 1 and 5 accepted</t>
  </si>
  <si>
    <t xml:space="preserve">SET-011</t>
  </si>
  <si>
    <t xml:space="preserve">Vendor cannot PATCH project directly</t>
  </si>
  <si>
    <t xml:space="preserve">1. PATCH /api/projects/{id}/ as vendor</t>
  </si>
  <si>
    <t xml:space="preserve">Error 'Use the project setup workflow to update vendor setup details.'</t>
  </si>
  <si>
    <t xml:space="preserve">SET-012</t>
  </si>
  <si>
    <t xml:space="preserve">RMT review</t>
  </si>
  <si>
    <t xml:space="preserve">RMT starts review</t>
  </si>
  <si>
    <t xml:space="preserve">Setup submitted</t>
  </si>
  <si>
    <t xml:space="preserve">1. Projects Hub -&gt; project -&gt; 'Start Review'</t>
  </si>
  <si>
    <t xml:space="preserve">Setup review status 'Under RMT Review'; vendor notified 'Project Setup Review Started'</t>
  </si>
  <si>
    <t xml:space="preserve">SET-013</t>
  </si>
  <si>
    <t xml:space="preserve">RMT approves setup</t>
  </si>
  <si>
    <t xml:space="preserve">Setup under review</t>
  </si>
  <si>
    <t xml:space="preserve">1. Click 'Approve Setup'
2. Click 'Approve'</t>
  </si>
  <si>
    <t xml:space="preserve">Optional notes</t>
  </si>
  <si>
    <t xml:space="preserve">Project status Active; installation submission unlocked; vendor notified 'Project Setup Approved'; M1 (0%) goes to Awaiting Verification</t>
  </si>
  <si>
    <t xml:space="preserve">SET-014</t>
  </si>
  <si>
    <t xml:space="preserve">RMT requests changes (notes required)</t>
  </si>
  <si>
    <t xml:space="preserve">1. Click 'Request Changes'
2. Enter notes
3. Click 'Send Change Request'</t>
  </si>
  <si>
    <t xml:space="preserve">Notes: 'Insurance expired'</t>
  </si>
  <si>
    <t xml:space="preserve">Status Setup Changes Requested; vendor sees notes and 'Resubmit Project Setup'</t>
  </si>
  <si>
    <t xml:space="preserve">SET-015</t>
  </si>
  <si>
    <t xml:space="preserve">Request changes / reject without notes blocked</t>
  </si>
  <si>
    <t xml:space="preserve">1. Click 'Request Changes' with empty notes</t>
  </si>
  <si>
    <t xml:space="preserve">Error 'Notes are required for this action.'</t>
  </si>
  <si>
    <t xml:space="preserve">SET-016</t>
  </si>
  <si>
    <t xml:space="preserve">RMT rejects setup</t>
  </si>
  <si>
    <t xml:space="preserve">1. Click 'Reject Setup'
2. Enter notes
3. Click 'Reject'</t>
  </si>
  <si>
    <t xml:space="preserve">Status Setup Rejected; banner 'Project setup was rejected. Contact RMT for next steps.'</t>
  </si>
  <si>
    <t xml:space="preserve">SET-017</t>
  </si>
  <si>
    <t xml:space="preserve">Vendor resubmits after change request</t>
  </si>
  <si>
    <t xml:space="preserve">Setup Changes Requested</t>
  </si>
  <si>
    <t xml:space="preserve">1. Fix fields
2. Click 'Resubmit Project Setup'</t>
  </si>
  <si>
    <t xml:space="preserve">Status Setup Under Review again</t>
  </si>
  <si>
    <t xml:space="preserve">SET-018</t>
  </si>
  <si>
    <t xml:space="preserve">Approved setup is locked</t>
  </si>
  <si>
    <t xml:space="preserve">Setup approved</t>
  </si>
  <si>
    <t xml:space="preserve">1. Attempt a setup change request</t>
  </si>
  <si>
    <t xml:space="preserve">Error 'This project setup has been approved by RMT and is locked. Change requests are no longer allowed.'</t>
  </si>
  <si>
    <t xml:space="preserve">SET-019</t>
  </si>
  <si>
    <t xml:space="preserve">Setup cannot be submitted before contract approval</t>
  </si>
  <si>
    <t xml:space="preserve">Project exists, contract not Approved (data set up via admin)</t>
  </si>
  <si>
    <t xml:space="preserve">1. Submit setup</t>
  </si>
  <si>
    <t xml:space="preserve">Error 'Project setup can only be submitted after the contract is approved.'</t>
  </si>
  <si>
    <t xml:space="preserve">INS-001</t>
  </si>
  <si>
    <t xml:space="preserve">Submit installation with all fields</t>
  </si>
  <si>
    <t xml:space="preserve">Project Active; Field Verifier covers the district</t>
  </si>
  <si>
    <t xml:space="preserve">1. Field Work -&gt; '+ Submit New Installation'
2. Fill all fields incl. household profile
3. Upload photos and receipt
4. Click 'Submit Installation'</t>
  </si>
  <si>
    <t xml:space="preserve">Unique serial &amp; NID; GPS inside district; household type Female Headed; members 4, men 2, women 2</t>
  </si>
  <si>
    <t xml:space="preserve">Installation status Submitted (yellow); verification task created and assigned; verifier notified 'New Verification Task'</t>
  </si>
  <si>
    <t xml:space="preserve">INS-002</t>
  </si>
  <si>
    <t xml:space="preserve">Installation blocked before setup approval</t>
  </si>
  <si>
    <t xml:space="preserve">Setup not approved</t>
  </si>
  <si>
    <t xml:space="preserve">1. Try to submit installation</t>
  </si>
  <si>
    <t xml:space="preserve">Error 'Complete project setup before submitting installations.'; button disabled in UI</t>
  </si>
  <si>
    <t xml:space="preserve">INS-003</t>
  </si>
  <si>
    <t xml:space="preserve">GPS outside Lesotho rejected</t>
  </si>
  <si>
    <t xml:space="preserve">Project Active</t>
  </si>
  <si>
    <t xml:space="preserve">1. Enter GPS -26.20, 28.04 (Johannesburg)
2. Submit</t>
  </si>
  <si>
    <t xml:space="preserve">Error 'Location is outside Lesotho. Please capture GPS at the actual installation site.'</t>
  </si>
  <si>
    <t xml:space="preserve">INS-004</t>
  </si>
  <si>
    <t xml:space="preserve">GPS outside project district rejected</t>
  </si>
  <si>
    <t xml:space="preserve">Project district Maseru</t>
  </si>
  <si>
    <t xml:space="preserve">1. Enter GPS in Mokhotlong
2. Submit</t>
  </si>
  <si>
    <t xml:space="preserve">Error '...fall outside the assigned district: Maseru... This installation cannot be saved.'</t>
  </si>
  <si>
    <t xml:space="preserve">INS-005</t>
  </si>
  <si>
    <t xml:space="preserve">Duplicate serial number rejected programme-wide</t>
  </si>
  <si>
    <t xml:space="preserve">Serial SN-001 already used (any project)</t>
  </si>
  <si>
    <t xml:space="preserve">1. Submit with serial SN-001</t>
  </si>
  <si>
    <t xml:space="preserve">Error 'Serial number SN-001 is already registered to installation #.. Each device can only be reported once.'</t>
  </si>
  <si>
    <t xml:space="preserve">INS-006</t>
  </si>
  <si>
    <t xml:space="preserve">Duplicate beneficiary ID rejected</t>
  </si>
  <si>
    <t xml:space="preserve">NID already used</t>
  </si>
  <si>
    <t xml:space="preserve">1. Submit with same Beneficiary ID</t>
  </si>
  <si>
    <t xml:space="preserve">Error 'Beneficiary ... already has installation #... A household can only be reported once.'</t>
  </si>
  <si>
    <t xml:space="preserve">INS-007</t>
  </si>
  <si>
    <t xml:space="preserve">Terminated installation's serial can be reused</t>
  </si>
  <si>
    <t xml:space="preserve">Serial belongs to a Terminated installation</t>
  </si>
  <si>
    <t xml:space="preserve">1. Submit with that serial</t>
  </si>
  <si>
    <t xml:space="preserve">Installation accepted</t>
  </si>
  <si>
    <t xml:space="preserve">INS-008</t>
  </si>
  <si>
    <t xml:space="preserve">Household profile</t>
  </si>
  <si>
    <t xml:space="preserve">Household must have at least one member</t>
  </si>
  <si>
    <t xml:space="preserve">1. Enter household members 0
2. Submit</t>
  </si>
  <si>
    <t xml:space="preserve">Error 'A household must have at least one member.'</t>
  </si>
  <si>
    <t xml:space="preserve">INS-009</t>
  </si>
  <si>
    <t xml:space="preserve">Men + women cannot exceed household members</t>
  </si>
  <si>
    <t xml:space="preserve">1. Members 3, men 2, women 2
2. Submit
3. Then members 4, men 2, women 2</t>
  </si>
  <si>
    <t xml:space="preserve">First rejected '2 men + 2 women is more than the 3 people in the household.'; second accepted</t>
  </si>
  <si>
    <t xml:space="preserve">INS-010</t>
  </si>
  <si>
    <t xml:space="preserve">Household profile fields optional</t>
  </si>
  <si>
    <t xml:space="preserve">1. Leave members/men/women/income/source blank
2. Submit</t>
  </si>
  <si>
    <t xml:space="preserve">INS-011</t>
  </si>
  <si>
    <t xml:space="preserve">Household profile hidden from DoE and PSC</t>
  </si>
  <si>
    <t xml:space="preserve">DoE / PSC</t>
  </si>
  <si>
    <t xml:space="preserve">Installation with profile exists</t>
  </si>
  <si>
    <t xml:space="preserve">1. Open installation as DoE
2. Open as PSC
3. Inspect API response</t>
  </si>
  <si>
    <t xml:space="preserve">Members, income level and income source not shown/returned for DoE and PSC</t>
  </si>
  <si>
    <t xml:space="preserve">INS-012</t>
  </si>
  <si>
    <t xml:space="preserve">Coordinates within 10 m of another installation</t>
  </si>
  <si>
    <t xml:space="preserve">Existing installation at a GPS point</t>
  </si>
  <si>
    <t xml:space="preserve">1. Submit new installation 5 m away</t>
  </si>
  <si>
    <t xml:space="preserve">Saved with warning 'These coordinates are within 10m of an existing installation...'; duplicate_gps anomaly raised</t>
  </si>
  <si>
    <t xml:space="preserve">INS-013</t>
  </si>
  <si>
    <t xml:space="preserve">Photo limits</t>
  </si>
  <si>
    <t xml:space="preserve">1. Attach 6 photos
2. Attach a 6 MB photo</t>
  </si>
  <si>
    <t xml:space="preserve">Max 5 photos enforced; &gt;5 MB file rejected</t>
  </si>
  <si>
    <t xml:space="preserve">INS-014</t>
  </si>
  <si>
    <t xml:space="preserve">Vendor can edit before verification</t>
  </si>
  <si>
    <t xml:space="preserve">Installation Submitted, no verification yet</t>
  </si>
  <si>
    <t xml:space="preserve">1. Edit phone number
2. Save</t>
  </si>
  <si>
    <t xml:space="preserve">Change saved</t>
  </si>
  <si>
    <t xml:space="preserve">INS-015</t>
  </si>
  <si>
    <t xml:space="preserve">Evidence locked after verification</t>
  </si>
  <si>
    <t xml:space="preserve">Installation verified</t>
  </si>
  <si>
    <t xml:space="preserve">1. Try to edit</t>
  </si>
  <si>
    <t xml:space="preserve">Error 'This installation has been field-verified; its evidence is locked.'</t>
  </si>
  <si>
    <t xml:space="preserve">INS-016</t>
  </si>
  <si>
    <t xml:space="preserve">Installations cannot be deleted</t>
  </si>
  <si>
    <t xml:space="preserve">Any installation</t>
  </si>
  <si>
    <t xml:space="preserve">1. DELETE /api/projects/installations/{id}/</t>
  </si>
  <si>
    <t xml:space="preserve">Request refused; installation remains</t>
  </si>
  <si>
    <t xml:space="preserve">INS-017</t>
  </si>
  <si>
    <t xml:space="preserve">Vendor cannot submit to another vendor's project</t>
  </si>
  <si>
    <t xml:space="preserve">1. POST installation with project = other vendor's project</t>
  </si>
  <si>
    <t xml:space="preserve">Request refused (403/400)</t>
  </si>
  <si>
    <t xml:space="preserve">INS-018</t>
  </si>
  <si>
    <t xml:space="preserve">No verifier for district</t>
  </si>
  <si>
    <t xml:space="preserve">Vendor / Super Admin</t>
  </si>
  <si>
    <t xml:space="preserve">No Field Verifier has the district as verification zone</t>
  </si>
  <si>
    <t xml:space="preserve">1. Submit installation</t>
  </si>
  <si>
    <t xml:space="preserve">Installation stays Submitted; no task visible to any verifier (document actual behaviour; raise if no warning is shown)</t>
  </si>
  <si>
    <t xml:space="preserve">FV-001</t>
  </si>
  <si>
    <t xml:space="preserve">Verifier completes verification - Verified</t>
  </si>
  <si>
    <t xml:space="preserve">Field Verifier</t>
  </si>
  <si>
    <t xml:space="preserve">Task assigned; verifier on site within 50 m</t>
  </si>
  <si>
    <t xml:space="preserve">1. Verifications -&gt; open task
2. Location &amp; Device: capture GPS, system working Yes, serial matches Yes
3. Beneficiary Check: present Yes, household type
4. Submit Verification: outcome Verified, 1-5 photos
5. Click 'Submit Verification'</t>
  </si>
  <si>
    <t xml:space="preserve">Installation Verified (green); vendor notified 'Installation #.. verified'; RMT/Admin/DoE notified</t>
  </si>
  <si>
    <t xml:space="preserve">FV-002</t>
  </si>
  <si>
    <t xml:space="preserve">Blind inspection - vendor data hidden before submission</t>
  </si>
  <si>
    <t xml:space="preserve">Task assigned</t>
  </si>
  <si>
    <t xml:space="preserve">1. Open task
2. Inspect UI and API response before submitting</t>
  </si>
  <si>
    <t xml:space="preserve">Serial, meter, beneficiary, household and vendor photos not visible</t>
  </si>
  <si>
    <t xml:space="preserve">FV-003</t>
  </si>
  <si>
    <t xml:space="preserve">GPS more than 50 m from vendor GPS forces Flagged</t>
  </si>
  <si>
    <t xml:space="preserve">1. Enter verifier GPS ~60 m away
2. Choose outcome Verified
3. Submit
4. Repeat with ~45 m</t>
  </si>
  <si>
    <t xml:space="preserve">60 m: outcome forced Flagged, 'Location mismatch: 60m', anomaly raised; 45 m: Verified</t>
  </si>
  <si>
    <t xml:space="preserve">FV-004</t>
  </si>
  <si>
    <t xml:space="preserve">Flagged outcome requires reason</t>
  </si>
  <si>
    <t xml:space="preserve">1. Choose Flagged
2. Leave reason empty
3. Submit</t>
  </si>
  <si>
    <t xml:space="preserve">Error 'flag_reason is required when verification is flagged or partial.'</t>
  </si>
  <si>
    <t xml:space="preserve">FV-005</t>
  </si>
  <si>
    <t xml:space="preserve">Partial outcome leaves installation Submitted</t>
  </si>
  <si>
    <t xml:space="preserve">1. Choose Partial with reason
2. Submit</t>
  </si>
  <si>
    <t xml:space="preserve">Installation stays Submitted; does not count toward milestones</t>
  </si>
  <si>
    <t xml:space="preserve">FV-006</t>
  </si>
  <si>
    <t xml:space="preserve">Photo requirements</t>
  </si>
  <si>
    <t xml:space="preserve">1. Submit with 0 photos
2. Submit with 6 photos
3. Submit with 6 MB photo</t>
  </si>
  <si>
    <t xml:space="preserve">0 blocked by UI; 6 -&gt; 'You can upload at most 5 site photos.'; 6 MB -&gt; '... exceeds the 5MB upload limit.'</t>
  </si>
  <si>
    <t xml:space="preserve">FV-007</t>
  </si>
  <si>
    <t xml:space="preserve">Verifier household type overwrites vendor's</t>
  </si>
  <si>
    <t xml:space="preserve">Vendor recorded Female Headed</t>
  </si>
  <si>
    <t xml:space="preserve">1. Select Standard during Beneficiary Check
2. Submit Verified</t>
  </si>
  <si>
    <t xml:space="preserve">Installation household type = Standard; inclusion KPI recalculated</t>
  </si>
  <si>
    <t xml:space="preserve">FV-008</t>
  </si>
  <si>
    <t xml:space="preserve">Submitted verification is locked</t>
  </si>
  <si>
    <t xml:space="preserve">Verification submitted</t>
  </si>
  <si>
    <t xml:space="preserve">1. Try to submit the same task again</t>
  </si>
  <si>
    <t xml:space="preserve">Error '...already been submitted and is locked. A reviewer must request re-verification first.'</t>
  </si>
  <si>
    <t xml:space="preserve">FV-009</t>
  </si>
  <si>
    <t xml:space="preserve">Verifier limited to assigned district</t>
  </si>
  <si>
    <t xml:space="preserve">Task in another district</t>
  </si>
  <si>
    <t xml:space="preserve">1. Call verify endpoint for that task</t>
  </si>
  <si>
    <t xml:space="preserve">Error 'You can only verify installations in your assigned district.'</t>
  </si>
  <si>
    <t xml:space="preserve">FV-010</t>
  </si>
  <si>
    <t xml:space="preserve">Verification paused for suspended vendor</t>
  </si>
  <si>
    <t xml:space="preserve">Vendor suspended</t>
  </si>
  <si>
    <t xml:space="preserve">1. Submit verification</t>
  </si>
  <si>
    <t xml:space="preserve">Error 'Field verification is paused while the vendor is under suspension.'</t>
  </si>
  <si>
    <t xml:space="preserve">FV-011</t>
  </si>
  <si>
    <t xml:space="preserve">Isolated installation warning</t>
  </si>
  <si>
    <t xml:space="preserve">Nearest other installation &gt; 500 m</t>
  </si>
  <si>
    <t xml:space="preserve">Vendor receives 'Installation Location Concern'</t>
  </si>
  <si>
    <t xml:space="preserve">FV-012</t>
  </si>
  <si>
    <t xml:space="preserve">Correction</t>
  </si>
  <si>
    <t xml:space="preserve">Vendor fixes flagged installation</t>
  </si>
  <si>
    <t xml:space="preserve">Installation Flagged</t>
  </si>
  <si>
    <t xml:space="preserve">1. Field Work -&gt; 'Fix &amp; Resubmit'
2. Enter correction note (&gt;=10 chars)
3. Click 'Resubmit for verification'</t>
  </si>
  <si>
    <t xml:space="preserve">Installation Submitted; task 'Reverification Required', round +1; verifier sees 'Re-verify'</t>
  </si>
  <si>
    <t xml:space="preserve">FV-013</t>
  </si>
  <si>
    <t xml:space="preserve">Correction note minimum length</t>
  </si>
  <si>
    <t xml:space="preserve">1. Enter 9-character note
2. Submit</t>
  </si>
  <si>
    <t xml:space="preserve">fixed gps</t>
  </si>
  <si>
    <t xml:space="preserve">Error 'Describe what you corrected (at least 10 characters).'</t>
  </si>
  <si>
    <t xml:space="preserve">FV-014</t>
  </si>
  <si>
    <t xml:space="preserve">Only flagged installations can be resubmitted</t>
  </si>
  <si>
    <t xml:space="preserve">Installation Verified</t>
  </si>
  <si>
    <t xml:space="preserve">1. Call resubmit endpoint</t>
  </si>
  <si>
    <t xml:space="preserve">Error 'Only flagged installations can be corrected and resubmitted.'</t>
  </si>
  <si>
    <t xml:space="preserve">FV-015</t>
  </si>
  <si>
    <t xml:space="preserve">Maximum 3 resubmissions</t>
  </si>
  <si>
    <t xml:space="preserve">Installation flagged 3 times and resubmitted 3 times</t>
  </si>
  <si>
    <t xml:space="preserve">1. Flag a 4th time
2. Try Fix &amp; Resubmit</t>
  </si>
  <si>
    <t xml:space="preserve">UI shows 'No resubmissions left - contact RMT'; API 'This installation has already been resubmitted 3 times...'</t>
  </si>
  <si>
    <t xml:space="preserve">DOE-001</t>
  </si>
  <si>
    <t xml:space="preserve">Acknowledge</t>
  </si>
  <si>
    <t xml:space="preserve">DoE acknowledges a verified result</t>
  </si>
  <si>
    <t xml:space="preserve">Verification Verified in DoE's region</t>
  </si>
  <si>
    <t xml:space="preserve">1. Field Verification -&gt; 'Accept / Acknowledge'</t>
  </si>
  <si>
    <t xml:space="preserve">Oversight review 'Acknowledged' recorded</t>
  </si>
  <si>
    <t xml:space="preserve">DOE-002</t>
  </si>
  <si>
    <t xml:space="preserve">Acknowledge only once per round</t>
  </si>
  <si>
    <t xml:space="preserve">Already acknowledged</t>
  </si>
  <si>
    <t xml:space="preserve">1. Acknowledge again</t>
  </si>
  <si>
    <t xml:space="preserve">Error 'You already acknowledged this verification.'</t>
  </si>
  <si>
    <t xml:space="preserve">DOE-003</t>
  </si>
  <si>
    <t xml:space="preserve">Only completed verifications can be acknowledged</t>
  </si>
  <si>
    <t xml:space="preserve">Task not yet submitted</t>
  </si>
  <si>
    <t xml:space="preserve">1. Call acknowledge</t>
  </si>
  <si>
    <t xml:space="preserve">Error 'Only completed verifications can be acknowledged.'</t>
  </si>
  <si>
    <t xml:space="preserve">DOE-004</t>
  </si>
  <si>
    <t xml:space="preserve">Re-verification</t>
  </si>
  <si>
    <t xml:space="preserve">DoE requests re-verification</t>
  </si>
  <si>
    <t xml:space="preserve">Verification Verified</t>
  </si>
  <si>
    <t xml:space="preserve">1. Click 'Request Re-verification'
2. Enter reason &gt;= 10 chars</t>
  </si>
  <si>
    <t xml:space="preserve">Reason: 'Photos do not show the panel'</t>
  </si>
  <si>
    <t xml:space="preserve">Task 'Reverification Required', round +1; installation back to Submitted; RMT, Admin and verifier notified</t>
  </si>
  <si>
    <t xml:space="preserve">DOE-005</t>
  </si>
  <si>
    <t xml:space="preserve">Reason minimum length</t>
  </si>
  <si>
    <t xml:space="preserve">Verification exists</t>
  </si>
  <si>
    <t xml:space="preserve">1. Enter 5-character reason</t>
  </si>
  <si>
    <t xml:space="preserve">Error 'Explain why re-verification is needed (at least 10 characters).'</t>
  </si>
  <si>
    <t xml:space="preserve">DOE-006</t>
  </si>
  <si>
    <t xml:space="preserve">Follow-up auto-resolves after re-verify</t>
  </si>
  <si>
    <t xml:space="preserve">Re-verification requested</t>
  </si>
  <si>
    <t xml:space="preserve">1. Verifier re-verifies</t>
  </si>
  <si>
    <t xml:space="preserve">Follow-up resolved automatically; new round recorded</t>
  </si>
  <si>
    <t xml:space="preserve">DOE-007</t>
  </si>
  <si>
    <t xml:space="preserve">Region</t>
  </si>
  <si>
    <t xml:space="preserve">DoE restricted to own region</t>
  </si>
  <si>
    <t xml:space="preserve">Verification outside DoE's region</t>
  </si>
  <si>
    <t xml:space="preserve">1. Try acknowledge / re-verify</t>
  </si>
  <si>
    <t xml:space="preserve">Error 'You can only review verifications in your region.'</t>
  </si>
  <si>
    <t xml:space="preserve">DOE-008</t>
  </si>
  <si>
    <t xml:space="preserve">DoE cannot approve claims</t>
  </si>
  <si>
    <t xml:space="preserve">Claim exists</t>
  </si>
  <si>
    <t xml:space="preserve">1. Call claim verify/approve endpoints as DoE</t>
  </si>
  <si>
    <t xml:space="preserve">403; DoE has no claim approval actions in UI</t>
  </si>
  <si>
    <t xml:space="preserve">MTR-001</t>
  </si>
  <si>
    <t xml:space="preserve">Upload</t>
  </si>
  <si>
    <t xml:space="preserve">Vendor uploads valid meter CSV</t>
  </si>
  <si>
    <t xml:space="preserve">Project Active; verified installations with meter IDs</t>
  </si>
  <si>
    <t xml:space="preserve">1. Field Work -&gt; 'Upload Meter Data CSV'
2. Select CSV</t>
  </si>
  <si>
    <t xml:space="preserve">CSV rows matching meter IDs</t>
  </si>
  <si>
    <t xml:space="preserve">Batch created pending_review; readings visible in Device Readings</t>
  </si>
  <si>
    <t xml:space="preserve">MTR-002</t>
  </si>
  <si>
    <t xml:space="preserve">Non-CSV / oversized file rejected</t>
  </si>
  <si>
    <t xml:space="preserve">1. Upload .xlsx
2. Upload 6 MB CSV</t>
  </si>
  <si>
    <t xml:space="preserve">'Only CSV uploads are supported.' / 'CSV file must be 5MB or less.'</t>
  </si>
  <si>
    <t xml:space="preserve">MTR-003</t>
  </si>
  <si>
    <t xml:space="preserve">CSV with no valid rows</t>
  </si>
  <si>
    <t xml:space="preserve">1. Upload CSV whose meter IDs match nothing</t>
  </si>
  <si>
    <t xml:space="preserve">'No valid meter rows were found...' with row errors</t>
  </si>
  <si>
    <t xml:space="preserve">MTR-004</t>
  </si>
  <si>
    <t xml:space="preserve">Upload blocked before setup approval</t>
  </si>
  <si>
    <t xml:space="preserve">1. Upload CSV</t>
  </si>
  <si>
    <t xml:space="preserve">'Complete project setup before uploading meter CSV data.'</t>
  </si>
  <si>
    <t xml:space="preserve">MTR-005</t>
  </si>
  <si>
    <t xml:space="preserve">RMT verifies a batch</t>
  </si>
  <si>
    <t xml:space="preserve">Batch pending_review</t>
  </si>
  <si>
    <t xml:space="preserve">1. Device Readings -&gt; Verify</t>
  </si>
  <si>
    <t xml:space="preserve">Batch verified; vendor notified 'Meter Data Verified'</t>
  </si>
  <si>
    <t xml:space="preserve">MTR-006</t>
  </si>
  <si>
    <t xml:space="preserve">Verifying a flagged batch needs notes</t>
  </si>
  <si>
    <t xml:space="preserve">Batch flagged</t>
  </si>
  <si>
    <t xml:space="preserve">1. Verify without notes</t>
  </si>
  <si>
    <t xml:space="preserve">Validation error requiring notes</t>
  </si>
  <si>
    <t xml:space="preserve">MTR-007</t>
  </si>
  <si>
    <t xml:space="preserve">RMT requests correction</t>
  </si>
  <si>
    <t xml:space="preserve">1. Request correction with reason and due date</t>
  </si>
  <si>
    <t xml:space="preserve">Batch correction_requested; vendor notified; M2/M3 eligibility blocked until cleared</t>
  </si>
  <si>
    <t xml:space="preserve">MTR-008</t>
  </si>
  <si>
    <t xml:space="preserve">Reject / restore individual readings</t>
  </si>
  <si>
    <t xml:space="preserve">Verified batch</t>
  </si>
  <si>
    <t xml:space="preserve">1. Reject a reading
2. Restore it</t>
  </si>
  <si>
    <t xml:space="preserve">Rejected reading excluded from KPIs; restored reading counts again</t>
  </si>
  <si>
    <t xml:space="preserve">ANM-001</t>
  </si>
  <si>
    <t xml:space="preserve">Workflow</t>
  </si>
  <si>
    <t xml:space="preserve">RMT investigates and resolves a flag</t>
  </si>
  <si>
    <t xml:space="preserve">Open anomaly flag</t>
  </si>
  <si>
    <t xml:space="preserve">1. Anomaly Flags -&gt; Start investigation
2. Resolve with notes, corrective action, decision reason, evidence ref</t>
  </si>
  <si>
    <t xml:space="preserve">Status Resolved; vendor notified 'Anomaly Flag Closed'</t>
  </si>
  <si>
    <t xml:space="preserve">ANM-002</t>
  </si>
  <si>
    <t xml:space="preserve">Cannot resolve before investigation</t>
  </si>
  <si>
    <t xml:space="preserve">Flag status open</t>
  </si>
  <si>
    <t xml:space="preserve">1. Resolve directly</t>
  </si>
  <si>
    <t xml:space="preserve">Error 'Flags must be under investigation before they can be resolved. Start the investigation first.'</t>
  </si>
  <si>
    <t xml:space="preserve">ANM-003</t>
  </si>
  <si>
    <t xml:space="preserve">Request correction requires notes, action, due date</t>
  </si>
  <si>
    <t xml:space="preserve">Flag under investigation</t>
  </si>
  <si>
    <t xml:space="preserve">1. Request correction with empty fields</t>
  </si>
  <si>
    <t xml:space="preserve">Error 'Investigation notes, corrective action, and a due date are required when requesting correction.'</t>
  </si>
  <si>
    <t xml:space="preserve">ANM-004</t>
  </si>
  <si>
    <t xml:space="preserve">Vendor responds to correction request</t>
  </si>
  <si>
    <t xml:space="preserve">Flag correction_requested</t>
  </si>
  <si>
    <t xml:space="preserve">1. Anomaly Flags -&gt; respond (&gt;= 10 chars, attach PDF)
2. Click 'Send to RMT'</t>
  </si>
  <si>
    <t xml:space="preserve">Flag returns to under_investigation; RMT notified</t>
  </si>
  <si>
    <t xml:space="preserve">ANM-005</t>
  </si>
  <si>
    <t xml:space="preserve">Vendor cannot respond unless asked</t>
  </si>
  <si>
    <t xml:space="preserve">Flag under_investigation</t>
  </si>
  <si>
    <t xml:space="preserve">1. Respond</t>
  </si>
  <si>
    <t xml:space="preserve">Error 'You can respond only while the RMT has requested a correction or evidence.'</t>
  </si>
  <si>
    <t xml:space="preserve">ANM-006</t>
  </si>
  <si>
    <t xml:space="preserve">Response attachment limits</t>
  </si>
  <si>
    <t xml:space="preserve">1. Attach .exe
2. Attach 6 MB PDF</t>
  </si>
  <si>
    <t xml:space="preserve">Both rejected (jpg/png/webp/pdf &lt;= 5 MB only)</t>
  </si>
  <si>
    <t xml:space="preserve">ANM-007</t>
  </si>
  <si>
    <t xml:space="preserve">Escalation</t>
  </si>
  <si>
    <t xml:space="preserve">Overdue vendor-action flag escalates</t>
  </si>
  <si>
    <t xml:space="preserve">System</t>
  </si>
  <si>
    <t xml:space="preserve">Flag correction_requested with due date in the past</t>
  </si>
  <si>
    <t xml:space="preserve">1. Run / wait for daily sweep</t>
  </si>
  <si>
    <t xml:space="preserve">Flag escalated; 'Anomaly Escalated: Response Overdue' sent; payment hold applies</t>
  </si>
  <si>
    <t xml:space="preserve">ANM-008</t>
  </si>
  <si>
    <t xml:space="preserve">Mark false positive</t>
  </si>
  <si>
    <t xml:space="preserve">1. Close as False positive with required fields</t>
  </si>
  <si>
    <t xml:space="preserve">Status false_positive; no longer blocks milestones</t>
  </si>
  <si>
    <t xml:space="preserve">OVS-001</t>
  </si>
  <si>
    <t xml:space="preserve">Reviews</t>
  </si>
  <si>
    <t xml:space="preserve">PSC records compliant review</t>
  </si>
  <si>
    <t xml:space="preserve">PSC</t>
  </si>
  <si>
    <t xml:space="preserve">Active project</t>
  </si>
  <si>
    <t xml:space="preserve">1. Project Monitoring -&gt; record review 'Compliant'</t>
  </si>
  <si>
    <t xml:space="preserve">Review saved; no follow-up</t>
  </si>
  <si>
    <t xml:space="preserve">OVS-002</t>
  </si>
  <si>
    <t xml:space="preserve">PSC flag with 'Hold milestone payments'</t>
  </si>
  <si>
    <t xml:space="preserve">Claim in approval chain</t>
  </si>
  <si>
    <t xml:space="preserve">1. Record 'Flagged' review
2. Tick 'Hold milestone payments'</t>
  </si>
  <si>
    <t xml:space="preserve">Follow-up opened; approve buttons disabled; API returns 409 'Payment is on hold until these findings are closed: ...'</t>
  </si>
  <si>
    <t xml:space="preserve">OVS-003</t>
  </si>
  <si>
    <t xml:space="preserve">Resolving the follow-up releases hold</t>
  </si>
  <si>
    <t xml:space="preserve">Payment hold from oversight flag</t>
  </si>
  <si>
    <t xml:space="preserve">1. Resolve follow-up with note</t>
  </si>
  <si>
    <t xml:space="preserve">Hold lifted; approval can continue</t>
  </si>
  <si>
    <t xml:space="preserve">OVS-004</t>
  </si>
  <si>
    <t xml:space="preserve">Resolve needs a note</t>
  </si>
  <si>
    <t xml:space="preserve">Open follow-up</t>
  </si>
  <si>
    <t xml:space="preserve">1. Resolve with empty note</t>
  </si>
  <si>
    <t xml:space="preserve">Error 'Describe how the issue was resolved.'</t>
  </si>
  <si>
    <t xml:space="preserve">OVS-005</t>
  </si>
  <si>
    <t xml:space="preserve">DoE/RMT limited to Flagged/Comment</t>
  </si>
  <si>
    <t xml:space="preserve">1. Try to record 'Compliant' as DoE via API</t>
  </si>
  <si>
    <t xml:space="preserve">Rejected</t>
  </si>
  <si>
    <t xml:space="preserve">OVS-006</t>
  </si>
  <si>
    <t xml:space="preserve">Site visit</t>
  </si>
  <si>
    <t xml:space="preserve">DoE site visit with system not working holds payment</t>
  </si>
  <si>
    <t xml:space="preserve">1. Record site visit: system working = No, follow-up open, photos</t>
  </si>
  <si>
    <t xml:space="preserve">Visit saved; payment hold listed on claims</t>
  </si>
  <si>
    <t xml:space="preserve">OVS-007</t>
  </si>
  <si>
    <t xml:space="preserve">Site visit photo limits</t>
  </si>
  <si>
    <t xml:space="preserve">1. Attach 11 photos / a .gif</t>
  </si>
  <si>
    <t xml:space="preserve">Rejected (jpg/png, max 10)</t>
  </si>
  <si>
    <t xml:space="preserve">OVS-008</t>
  </si>
  <si>
    <t xml:space="preserve">KPI review</t>
  </si>
  <si>
    <t xml:space="preserve">DoE monthly KPI review once per month</t>
  </si>
  <si>
    <t xml:space="preserve">KPI review exists for project/month</t>
  </si>
  <si>
    <t xml:space="preserve">1. Submit another for same month</t>
  </si>
  <si>
    <t xml:space="preserve">Rejected as duplicate</t>
  </si>
  <si>
    <t xml:space="preserve">OVS-009</t>
  </si>
  <si>
    <t xml:space="preserve">At-risk rating notifies oversight</t>
  </si>
  <si>
    <t xml:space="preserve">1. Submit KPI review 'at_risk'</t>
  </si>
  <si>
    <t xml:space="preserve">Oversight users notified</t>
  </si>
  <si>
    <t xml:space="preserve">OVS-010</t>
  </si>
  <si>
    <t xml:space="preserve">Flag project</t>
  </si>
  <si>
    <t xml:space="preserve">PSC 'Flag Project'</t>
  </si>
  <si>
    <t xml:space="preserve">1. Click 'Flag Project'
2. Enter details</t>
  </si>
  <si>
    <t xml:space="preserve">Issue recorded; visible in Flagged Issues</t>
  </si>
  <si>
    <t xml:space="preserve">AUC-001</t>
  </si>
  <si>
    <t xml:space="preserve">Full audit case to closure</t>
  </si>
  <si>
    <t xml:space="preserve">Auditor / RMT</t>
  </si>
  <si>
    <t xml:space="preserve">Claim or project to audit</t>
  </si>
  <si>
    <t xml:space="preserve">1. Auditor creates case (Draft)
2. Under Review
3. Add evidence -&gt; Evidence Collected
4. Record finding (&gt;=20 chars)
5. RMT management response (&gt;=10 chars)
6. Corrective action Open -&gt; In Progress -&gt; Implemented (RMT)
7. Auditor verifies, finalizes, closes</t>
  </si>
  <si>
    <t xml:space="preserve">Case Closed; any payment hold from it released</t>
  </si>
  <si>
    <t xml:space="preserve">AUC-002</t>
  </si>
  <si>
    <t xml:space="preserve">Evidence required before Evidence Collected</t>
  </si>
  <si>
    <t xml:space="preserve">Case Under Review, no evidence</t>
  </si>
  <si>
    <t xml:space="preserve">1. Move to Evidence Collected</t>
  </si>
  <si>
    <t xml:space="preserve">AUC-003</t>
  </si>
  <si>
    <t xml:space="preserve">Finding minimum length</t>
  </si>
  <si>
    <t xml:space="preserve">1. Finding of 19 characters</t>
  </si>
  <si>
    <t xml:space="preserve">AUC-004</t>
  </si>
  <si>
    <t xml:space="preserve">Only Auditor can verify corrective action</t>
  </si>
  <si>
    <t xml:space="preserve">Corrective action Implemented</t>
  </si>
  <si>
    <t xml:space="preserve">1. RMT tries to mark Verified</t>
  </si>
  <si>
    <t xml:space="preserve">403</t>
  </si>
  <si>
    <t xml:space="preserve">AUC-005</t>
  </si>
  <si>
    <t xml:space="preserve">Holds</t>
  </si>
  <si>
    <t xml:space="preserve">Open audit case on claim blocks approval</t>
  </si>
  <si>
    <t xml:space="preserve">Audit case in progress on claim</t>
  </si>
  <si>
    <t xml:space="preserve">1. Try RMT approve</t>
  </si>
  <si>
    <t xml:space="preserve">409 hold; vendor does not see audit blocker text</t>
  </si>
  <si>
    <t xml:space="preserve">MS-001</t>
  </si>
  <si>
    <t xml:space="preserve">M1 0%</t>
  </si>
  <si>
    <t xml:space="preserve">M1 (0%) goes to RMT verification after setup approval</t>
  </si>
  <si>
    <t xml:space="preserve">RMT / Vendor</t>
  </si>
  <si>
    <t xml:space="preserve">Project with default split; setup just approved</t>
  </si>
  <si>
    <t xml:space="preserve">1. Open project Milestones as RMT
2. Open as Vendor
3. Check notifications</t>
  </si>
  <si>
    <t xml:space="preserve">M1 shows 'AWAITING VERIFICATION' (no Submit Claim); RMT, Super Admin and vendor get 'Milestone 1 Awaiting Verification'</t>
  </si>
  <si>
    <t xml:space="preserve">MS-002</t>
  </si>
  <si>
    <t xml:space="preserve">M1 (0%) not sent for verification before conditions met</t>
  </si>
  <si>
    <t xml:space="preserve">Setup not yet approved</t>
  </si>
  <si>
    <t xml:space="preserve">1. Open Milestones</t>
  </si>
  <si>
    <t xml:space="preserve">M1 shows PENDING; no completion review panel</t>
  </si>
  <si>
    <t xml:space="preserve">MS-003</t>
  </si>
  <si>
    <t xml:space="preserve">RMT 'Verify &amp; proceed' on M1 unlocks M2 path</t>
  </si>
  <si>
    <t xml:space="preserve">M1 awaiting verification</t>
  </si>
  <si>
    <t xml:space="preserve">1. Completion Review panel on M1
2. Choose 'Proceed to next milestone', add notes
3. Click 'Verify &amp; proceed to next milestone'</t>
  </si>
  <si>
    <t xml:space="preserve">M1 shows VERIFIED; vendor notified 'Milestone 1 Verified'; M2 becomes claimable once its own conditions are met</t>
  </si>
  <si>
    <t xml:space="preserve">MS-004</t>
  </si>
  <si>
    <t xml:space="preserve">M2 stays locked while M1 decision pending</t>
  </si>
  <si>
    <t xml:space="preserve">M1 awaiting verification; M2 KPIs otherwise met</t>
  </si>
  <si>
    <t xml:space="preserve">1. Check M2 status; try claiming M2 via API</t>
  </si>
  <si>
    <t xml:space="preserve">M2 locked; claim rejected 'Milestone 1 must be completed and verified by the RBF Management Team or Super Admin (decision: proceed)...'</t>
  </si>
  <si>
    <t xml:space="preserve">MS-005</t>
  </si>
  <si>
    <t xml:space="preserve">RMT closes project at M1</t>
  </si>
  <si>
    <t xml:space="preserve">1. Choose 'Close project' with notes</t>
  </si>
  <si>
    <t xml:space="preserve">Project Closed; M2 and M3 Cancelled</t>
  </si>
  <si>
    <t xml:space="preserve">MS-006</t>
  </si>
  <si>
    <t xml:space="preserve">No claim possible on 0% milestone</t>
  </si>
  <si>
    <t xml:space="preserve">M1 = 0%</t>
  </si>
  <si>
    <t xml:space="preserve">1. POST claim for M1 via API</t>
  </si>
  <si>
    <t xml:space="preserve">Rejected with '...set to 0% disbursement, so there is nothing to claim...'</t>
  </si>
  <si>
    <t xml:space="preserve">MS-007</t>
  </si>
  <si>
    <t xml:space="preserve">M1 &gt;0%</t>
  </si>
  <si>
    <t xml:space="preserve">Non-zero M1 becomes claimable after setup approval</t>
  </si>
  <si>
    <t xml:space="preserve">Project split 20/50/30; setup approved</t>
  </si>
  <si>
    <t xml:space="preserve">1. Open Payments tab</t>
  </si>
  <si>
    <t xml:space="preserve">M1 listed under Claimable Milestones; vendor notified 'Milestone 1 Claimable'</t>
  </si>
  <si>
    <t xml:space="preserve">MS-008</t>
  </si>
  <si>
    <t xml:space="preserve">M2</t>
  </si>
  <si>
    <t xml:space="preserve">M2 unlocks at required verified % and female share</t>
  </si>
  <si>
    <t xml:space="preserve">M1 cleared; target 5; 4 verified incl. &gt;= target female-headed; meter reading &lt; 30 days; no blocking flags</t>
  </si>
  <si>
    <t xml:space="preserve">1. Refresh project KPIs</t>
  </si>
  <si>
    <t xml:space="preserve">M2 Claimable; notification 'Milestone 2 Claimable'</t>
  </si>
  <si>
    <t xml:space="preserve">MS-009</t>
  </si>
  <si>
    <t xml:space="preserve">M2 blocked by open zero_uptime / output_deviation flag</t>
  </si>
  <si>
    <t xml:space="preserve">M2 otherwise eligible; open zero_uptime flag</t>
  </si>
  <si>
    <t xml:space="preserve">1. Check M2</t>
  </si>
  <si>
    <t xml:space="preserve">M2 not claimable; condition 'no blocking anomaly flags' unmet</t>
  </si>
  <si>
    <t xml:space="preserve">MS-010</t>
  </si>
  <si>
    <t xml:space="preserve">M2 blocked by stale meter data</t>
  </si>
  <si>
    <t xml:space="preserve">Latest reading &gt; 30 days old</t>
  </si>
  <si>
    <t xml:space="preserve">Not claimable; meter data condition unmet</t>
  </si>
  <si>
    <t xml:space="preserve">MS-011</t>
  </si>
  <si>
    <t xml:space="preserve">M2 blocked by flagged meter batch</t>
  </si>
  <si>
    <t xml:space="preserve">Batch in Flagged / Correction Requested</t>
  </si>
  <si>
    <t xml:space="preserve">Not claimable</t>
  </si>
  <si>
    <t xml:space="preserve">MS-012</t>
  </si>
  <si>
    <t xml:space="preserve">M2 boundary at exactly required %</t>
  </si>
  <si>
    <t xml:space="preserve">Target 5, M2 80%</t>
  </si>
  <si>
    <t xml:space="preserve">1. 3 verified (60%)
2. 4 verified (80%)</t>
  </si>
  <si>
    <t xml:space="preserve">60%: locked; 80%: claimable (if other conditions met)</t>
  </si>
  <si>
    <t xml:space="preserve">MS-013</t>
  </si>
  <si>
    <t xml:space="preserve">M3</t>
  </si>
  <si>
    <t xml:space="preserve">M3 requires all inclusion targets, 100% verified, zero flags, M2 paid &amp; proceeded</t>
  </si>
  <si>
    <t xml:space="preserve">Inclusion targets total &lt;= 100% (e.g. 40/20/30)</t>
  </si>
  <si>
    <t xml:space="preserve">1. Verify all installations meeting each share
2. Resolve all flags
3. M2 paid and proceed recorded</t>
  </si>
  <si>
    <t xml:space="preserve">M3 Claimable</t>
  </si>
  <si>
    <t xml:space="preserve">MS-014</t>
  </si>
  <si>
    <t xml:space="preserve">Known issue: default 50/30/60 targets make M3 unreachable</t>
  </si>
  <si>
    <t xml:space="preserve">Super Admin / Vendor</t>
  </si>
  <si>
    <t xml:space="preserve">Default inclusion targets 50/30/60</t>
  </si>
  <si>
    <t xml:space="preserve">1. Verify 100% with best possible household mix
2. Check M3 eligibility</t>
  </si>
  <si>
    <t xml:space="preserve">EXPECTED (current code): M3 never claimable because one household has one type. Log as defect / product decision if confirmed</t>
  </si>
  <si>
    <t xml:space="preserve">MS-015</t>
  </si>
  <si>
    <t xml:space="preserve">Only verified installations count</t>
  </si>
  <si>
    <t xml:space="preserve">Mix of Submitted/Flagged/Verified</t>
  </si>
  <si>
    <t xml:space="preserve">1. Compare KPI tab counts</t>
  </si>
  <si>
    <t xml:space="preserve">Progress and inclusion % use Verified only</t>
  </si>
  <si>
    <t xml:space="preserve">CLM-001</t>
  </si>
  <si>
    <t xml:space="preserve">Vendor submits claim on claimable milestone</t>
  </si>
  <si>
    <t xml:space="preserve">Milestone claimable</t>
  </si>
  <si>
    <t xml:space="preserve">1. Payments -&gt; Claimable Milestones -&gt; Claim Composer
2. Fill completion date, beneficiaries, notes, evidence
3. Click 'Submit Payment Claim'</t>
  </si>
  <si>
    <t xml:space="preserve">Claim Submitted; milestone claimed; RMT notified 'Milestone Claim Submitted'</t>
  </si>
  <si>
    <t xml:space="preserve">CLM-002</t>
  </si>
  <si>
    <t xml:space="preserve">Claim amount fixed by system</t>
  </si>
  <si>
    <t xml:space="preserve">Milestone amount 60,000</t>
  </si>
  <si>
    <t xml:space="preserve">1. Submit claim with amount 99,999 via API</t>
  </si>
  <si>
    <t xml:space="preserve">Saved claim_amount = milestone amount (+ carry-over), not 99,999</t>
  </si>
  <si>
    <t xml:space="preserve">CLM-003</t>
  </si>
  <si>
    <t xml:space="preserve">Duplicate claim per milestone blocked</t>
  </si>
  <si>
    <t xml:space="preserve">Claim exists (not rejected)</t>
  </si>
  <si>
    <t xml:space="preserve">1. Submit another claim for same milestone</t>
  </si>
  <si>
    <t xml:space="preserve">'A claim for this milestone already exists and the milestone is locked from duplicate submissions.'</t>
  </si>
  <si>
    <t xml:space="preserve">CLM-004</t>
  </si>
  <si>
    <t xml:space="preserve">Locked milestone cannot be claimed</t>
  </si>
  <si>
    <t xml:space="preserve">Milestone locked</t>
  </si>
  <si>
    <t xml:space="preserve">1. POST claim</t>
  </si>
  <si>
    <t xml:space="preserve">'Milestone N is not claimable yet. Its conditions ... must be met first.'</t>
  </si>
  <si>
    <t xml:space="preserve">CLM-005</t>
  </si>
  <si>
    <t xml:space="preserve">Declaration required (standalone page)</t>
  </si>
  <si>
    <t xml:space="preserve">Claimable milestone</t>
  </si>
  <si>
    <t xml:space="preserve">1. Standalone 'Submit Payment Claim' page without declaration
2. Submit Claim</t>
  </si>
  <si>
    <t xml:space="preserve">'You must accept the declaration before submitting a claim.'</t>
  </si>
  <si>
    <t xml:space="preserve">CLM-006</t>
  </si>
  <si>
    <t xml:space="preserve">Blacklisted/suspended vendor cannot claim</t>
  </si>
  <si>
    <t xml:space="preserve">1. Submit claim</t>
  </si>
  <si>
    <t xml:space="preserve">'Your vendor account is suspended or blacklisted. Payment claims are on hold for audit.'</t>
  </si>
  <si>
    <t xml:space="preserve">CLM-007</t>
  </si>
  <si>
    <t xml:space="preserve">Return</t>
  </si>
  <si>
    <t xml:space="preserve">Vendor resubmits returned claim</t>
  </si>
  <si>
    <t xml:space="preserve">Claim Returned with deficiencies</t>
  </si>
  <si>
    <t xml:space="preserve">1. Open claim, address 'Complete before resubmitting'
2. Click 'Resubmit Claim'</t>
  </si>
  <si>
    <t xml:space="preserve">Claim Submitted; resubmission count +1; RMT notified 'Returned Claim Resubmitted'</t>
  </si>
  <si>
    <t xml:space="preserve">CLM-008</t>
  </si>
  <si>
    <t xml:space="preserve">New claim blocked while one is Returned</t>
  </si>
  <si>
    <t xml:space="preserve">Claim Returned</t>
  </si>
  <si>
    <t xml:space="preserve">1. Create new claim for same milestone</t>
  </si>
  <si>
    <t xml:space="preserve">'This milestone claim was returned for completion. Fix the listed items and resubmit the existing claim.'</t>
  </si>
  <si>
    <t xml:space="preserve">APR-001</t>
  </si>
  <si>
    <t xml:space="preserve">RMT approves claim in full</t>
  </si>
  <si>
    <t xml:space="preserve">Claim Submitted, no holds</t>
  </si>
  <si>
    <t xml:space="preserve">1. Disbursements -&gt; 'RMT Review'
2. Choose 'Approve in full'
3. Click 'Approve'</t>
  </si>
  <si>
    <t xml:space="preserve">Status RMT Approved; TAC notified 'Claim Ready For TAC Endorsement'</t>
  </si>
  <si>
    <t xml:space="preserve">APR-002</t>
  </si>
  <si>
    <t xml:space="preserve">RMT approves partially (&gt;= 70%)</t>
  </si>
  <si>
    <t xml:space="preserve">Non-final milestone; 85% delivered and verified</t>
  </si>
  <si>
    <t xml:space="preserve">1. Choose 'Approve partially'
2. Assessed % 85, list deficiencies
3. Click 'Approve Partial Payment'</t>
  </si>
  <si>
    <t xml:space="preserve">RMT Approved with approved_amount = 85%; shortfall to carry into next milestone on payment</t>
  </si>
  <si>
    <t xml:space="preserve">APR-003</t>
  </si>
  <si>
    <t xml:space="preserve">Partial below minimum rejected</t>
  </si>
  <si>
    <t xml:space="preserve">60% delivered</t>
  </si>
  <si>
    <t xml:space="preserve">1. Approve partially at 60%</t>
  </si>
  <si>
    <t xml:space="preserve">'Partial payment needs at least 70% of the milestone delivered and verified (currently 60%)...'</t>
  </si>
  <si>
    <t xml:space="preserve">APR-004</t>
  </si>
  <si>
    <t xml:space="preserve">Partial on final milestone rejected</t>
  </si>
  <si>
    <t xml:space="preserve">M3 claim</t>
  </si>
  <si>
    <t xml:space="preserve">1. Approve partially</t>
  </si>
  <si>
    <t xml:space="preserve">'The final milestone cannot be paid partially...'</t>
  </si>
  <si>
    <t xml:space="preserve">APR-005</t>
  </si>
  <si>
    <t xml:space="preserve">Assessed % above verified delivery rejected</t>
  </si>
  <si>
    <t xml:space="preserve">Verified delivery 80%</t>
  </si>
  <si>
    <t xml:space="preserve">1. Assessed 90%</t>
  </si>
  <si>
    <t xml:space="preserve">'The assessed percentage cannot exceed the verified delivery (80%).'</t>
  </si>
  <si>
    <t xml:space="preserve">APR-006</t>
  </si>
  <si>
    <t xml:space="preserve">Partial when fully delivered rejected</t>
  </si>
  <si>
    <t xml:space="preserve">100% delivered</t>
  </si>
  <si>
    <t xml:space="preserve">'The milestone is fully delivered; approve it in full.'</t>
  </si>
  <si>
    <t xml:space="preserve">APR-007</t>
  </si>
  <si>
    <t xml:space="preserve">Return for completion</t>
  </si>
  <si>
    <t xml:space="preserve">Claim Submitted</t>
  </si>
  <si>
    <t xml:space="preserve">1. Choose 'Return for completion'
2. List deficiencies
3. Click 'Return to Vendor'</t>
  </si>
  <si>
    <t xml:space="preserve">Status Returned; vendor notified with list</t>
  </si>
  <si>
    <t xml:space="preserve">APR-008</t>
  </si>
  <si>
    <t xml:space="preserve">Return requires deficiencies</t>
  </si>
  <si>
    <t xml:space="preserve">1. Return with empty list</t>
  </si>
  <si>
    <t xml:space="preserve">'List what the vendor must complete before resubmitting.'</t>
  </si>
  <si>
    <t xml:space="preserve">APR-009</t>
  </si>
  <si>
    <t xml:space="preserve">TAC endorses claim</t>
  </si>
  <si>
    <t xml:space="preserve">Claim RMT Approved</t>
  </si>
  <si>
    <t xml:space="preserve">1. Claim Reviews -&gt; 'TAC Review'
2. Click 'Endorse Claim'</t>
  </si>
  <si>
    <t xml:space="preserve">Status TAC Endorsed; PSC notified 'Claim Ready For PSC Approval'</t>
  </si>
  <si>
    <t xml:space="preserve">APR-010</t>
  </si>
  <si>
    <t xml:space="preserve">TAC pushes claim back to RMT</t>
  </si>
  <si>
    <t xml:space="preserve">1. Click 'Push Back to RMT'</t>
  </si>
  <si>
    <t xml:space="preserve">Status Submitted; RMT decision cleared; RMT notified 'Milestone Claim Sent Back For RMT Review'</t>
  </si>
  <si>
    <t xml:space="preserve">APR-011</t>
  </si>
  <si>
    <t xml:space="preserve">TAC cannot endorse before RMT approval</t>
  </si>
  <si>
    <t xml:space="preserve">1. Call approve as TAC</t>
  </si>
  <si>
    <t xml:space="preserve">'Claim must first be approved by RMT before TAC endorsement.'</t>
  </si>
  <si>
    <t xml:space="preserve">APR-012</t>
  </si>
  <si>
    <t xml:space="preserve">PSC approves payment</t>
  </si>
  <si>
    <t xml:space="preserve">Claim TAC Endorsed</t>
  </si>
  <si>
    <t xml:space="preserve">1. Disbursements -&gt; 'PSC Review'
2. Click 'Approve Payment'</t>
  </si>
  <si>
    <t xml:space="preserve">Status PSC Approved; RMT notified 'Claim Ready For Payment Confirmation'</t>
  </si>
  <si>
    <t xml:space="preserve">APR-013</t>
  </si>
  <si>
    <t xml:space="preserve">PSC rejects claim</t>
  </si>
  <si>
    <t xml:space="preserve">1. Click 'Reject Claim' with reason</t>
  </si>
  <si>
    <t xml:space="preserve">Status Rejected; milestone claimable again; vendor can file a new claim</t>
  </si>
  <si>
    <t xml:space="preserve">APR-014</t>
  </si>
  <si>
    <t xml:space="preserve">PSC bank details masked until requested</t>
  </si>
  <si>
    <t xml:space="preserve">1. Open bank details
2. Click 'View Details'</t>
  </si>
  <si>
    <t xml:space="preserve">Masked by default; full number on request; reveal recorded in Audit Log</t>
  </si>
  <si>
    <t xml:space="preserve">APR-015</t>
  </si>
  <si>
    <t xml:space="preserve">PSC bank details unavailable before TAC endorsement</t>
  </si>
  <si>
    <t xml:space="preserve">1. Request bank details</t>
  </si>
  <si>
    <t xml:space="preserve">'Bank details are available to PSC only after technical endorsement or PSC approval.'</t>
  </si>
  <si>
    <t xml:space="preserve">APR-016</t>
  </si>
  <si>
    <t xml:space="preserve">PSC cannot approve before TAC</t>
  </si>
  <si>
    <t xml:space="preserve">1. Call approve as PSC</t>
  </si>
  <si>
    <t xml:space="preserve">'Claim must first be endorsed by TAC before PSC approval.'</t>
  </si>
  <si>
    <t xml:space="preserve">APR-017</t>
  </si>
  <si>
    <t xml:space="preserve">Payment</t>
  </si>
  <si>
    <t xml:space="preserve">RMT confirms payment</t>
  </si>
  <si>
    <t xml:space="preserve">Claim PSC Approved</t>
  </si>
  <si>
    <t xml:space="preserve">1. Disbursements -&gt; 'Confirm Payment'
2. Review Disbursement Sheet
3. Enter Transaction/Reference ID
4. Click 'Submit'</t>
  </si>
  <si>
    <t xml:space="preserve">IFMS-2026-00123</t>
  </si>
  <si>
    <t xml:space="preserve">Claim Completed (shown 'Paid'); milestone paid; disbursement record created; vendor notified 'Milestone Payment Completed'; completion review opens</t>
  </si>
  <si>
    <t xml:space="preserve">APR-018</t>
  </si>
  <si>
    <t xml:space="preserve">Reference ID required</t>
  </si>
  <si>
    <t xml:space="preserve">1. Submit empty reference</t>
  </si>
  <si>
    <t xml:space="preserve">'payment_reference is required.'</t>
  </si>
  <si>
    <t xml:space="preserve">APR-019</t>
  </si>
  <si>
    <t xml:space="preserve">Cannot pay before PSC approval</t>
  </si>
  <si>
    <t xml:space="preserve">1. Call confirm-paid</t>
  </si>
  <si>
    <t xml:space="preserve">'Claim must be PSC approved before it can be marked as paid.'</t>
  </si>
  <si>
    <t xml:space="preserve">APR-020</t>
  </si>
  <si>
    <t xml:space="preserve">Cannot pay twice</t>
  </si>
  <si>
    <t xml:space="preserve">Claim Completed</t>
  </si>
  <si>
    <t xml:space="preserve">1. Call confirm-paid again</t>
  </si>
  <si>
    <t xml:space="preserve">'This claim has already been marked as paid.'</t>
  </si>
  <si>
    <t xml:space="preserve">APR-021</t>
  </si>
  <si>
    <t xml:space="preserve">Insufficient national budget</t>
  </si>
  <si>
    <t xml:space="preserve">Budget configured below claim amount</t>
  </si>
  <si>
    <t xml:space="preserve">1. Confirm payment</t>
  </si>
  <si>
    <t xml:space="preserve">'Insufficient National/Main Program Budget. Remaining balance is ...'</t>
  </si>
  <si>
    <t xml:space="preserve">APR-022</t>
  </si>
  <si>
    <t xml:space="preserve">Partial payment carry-over settles into next claim</t>
  </si>
  <si>
    <t xml:space="preserve">Vendor / RMT</t>
  </si>
  <si>
    <t xml:space="preserve">M2 paid at 85%</t>
  </si>
  <si>
    <t xml:space="preserve">1. Pay M2
2. Submit M3 claim</t>
  </si>
  <si>
    <t xml:space="preserve">Carry-over (15% of M2) shown; M3 claim amount = M3 amount + shortfall; carry-over settled when M3 paid</t>
  </si>
  <si>
    <t xml:space="preserve">APR-023</t>
  </si>
  <si>
    <t xml:space="preserve">Disbursement sheet only after PSC approval</t>
  </si>
  <si>
    <t xml:space="preserve">1. Open disbursement sheet</t>
  </si>
  <si>
    <t xml:space="preserve">'The disbursement sheet is available only after PSC approval.'</t>
  </si>
  <si>
    <t xml:space="preserve">APR-024</t>
  </si>
  <si>
    <t xml:space="preserve">Paid claims cannot be rejected</t>
  </si>
  <si>
    <t xml:space="preserve">'Paid claims cannot be rejected.'</t>
  </si>
  <si>
    <t xml:space="preserve">APR-025</t>
  </si>
  <si>
    <t xml:space="preserve">Hold listed and approve disabled at each stage</t>
  </si>
  <si>
    <t xml:space="preserve">RMT / TAC / PSC</t>
  </si>
  <si>
    <t xml:space="preserve">High-severity anomaly open</t>
  </si>
  <si>
    <t xml:space="preserve">1. Open claim at each stage</t>
  </si>
  <si>
    <t xml:space="preserve">Blockers listed; approve buttons disabled; API 409 at verify / approve / confirm-paid</t>
  </si>
  <si>
    <t xml:space="preserve">APR-026</t>
  </si>
  <si>
    <t xml:space="preserve">Roles cannot act outside their stage</t>
  </si>
  <si>
    <t xml:space="preserve">Vendor / DoE / Auditor</t>
  </si>
  <si>
    <t xml:space="preserve">Claims at each stage</t>
  </si>
  <si>
    <t xml:space="preserve">1. Call verify / approve / confirm-paid as each role</t>
  </si>
  <si>
    <t xml:space="preserve">403 for every unauthorised role</t>
  </si>
  <si>
    <t xml:space="preserve">MCR-001</t>
  </si>
  <si>
    <t xml:space="preserve">Decision</t>
  </si>
  <si>
    <t xml:space="preserve">Verify &amp; proceed after paid milestone</t>
  </si>
  <si>
    <t xml:space="preserve">M2 paid</t>
  </si>
  <si>
    <t xml:space="preserve">1. Completion Review on M2 -&gt; Proceed, notes
2. Click 'Verify &amp; proceed to next milestone'</t>
  </si>
  <si>
    <t xml:space="preserve">Review decided; vendor notified 'Milestone 2 Verified'; M3 may unlock</t>
  </si>
  <si>
    <t xml:space="preserve">MCR-002</t>
  </si>
  <si>
    <t xml:space="preserve">Transfer to another vendor</t>
  </si>
  <si>
    <t xml:space="preserve">M2 paid; another active vendor exists</t>
  </si>
  <si>
    <t xml:space="preserve">1. Choose Transfer, select vendor, notes
2. Submit</t>
  </si>
  <si>
    <t xml:space="preserve">Project vendor changed; new vendor notified 'Project Transferred To You'</t>
  </si>
  <si>
    <t xml:space="preserve">MCR-003</t>
  </si>
  <si>
    <t xml:space="preserve">Transfer to same / blacklisted vendor blocked</t>
  </si>
  <si>
    <t xml:space="preserve">1. Transfer to current vendor
2. Transfer to blacklisted vendor</t>
  </si>
  <si>
    <t xml:space="preserve">'Select a different vendor from the current one.' / 'This vendor is suspended or blacklisted and cannot take over the project.'</t>
  </si>
  <si>
    <t xml:space="preserve">MCR-004</t>
  </si>
  <si>
    <t xml:space="preserve">Final milestone only allows Complete</t>
  </si>
  <si>
    <t xml:space="preserve">M3 paid</t>
  </si>
  <si>
    <t xml:space="preserve">1. Choose proceed via API</t>
  </si>
  <si>
    <t xml:space="preserve">'The final milestone can only be verified to complete the project.'</t>
  </si>
  <si>
    <t xml:space="preserve">MCR-005</t>
  </si>
  <si>
    <t xml:space="preserve">Complete project</t>
  </si>
  <si>
    <t xml:space="preserve">1. Click 'Verify &amp; complete project'</t>
  </si>
  <si>
    <t xml:space="preserve">Project Completed and archived; 'Project Completed' notification</t>
  </si>
  <si>
    <t xml:space="preserve">MCR-006</t>
  </si>
  <si>
    <t xml:space="preserve">Decision recorded only once</t>
  </si>
  <si>
    <t xml:space="preserve">Review decided</t>
  </si>
  <si>
    <t xml:space="preserve">1. Submit again</t>
  </si>
  <si>
    <t xml:space="preserve">'A decision has already been recorded for this milestone.'</t>
  </si>
  <si>
    <t xml:space="preserve">MCR-007</t>
  </si>
  <si>
    <t xml:space="preserve">Review before payment not possible</t>
  </si>
  <si>
    <t xml:space="preserve">Non-zero milestone not paid</t>
  </si>
  <si>
    <t xml:space="preserve">1. Call completion-review</t>
  </si>
  <si>
    <t xml:space="preserve">'This milestone has not been paid yet, so there is nothing to verify.'</t>
  </si>
  <si>
    <t xml:space="preserve">MCR-008</t>
  </si>
  <si>
    <t xml:space="preserve">Only RMT / Super Admin can decide</t>
  </si>
  <si>
    <t xml:space="preserve">PSC / TAC / Vendor</t>
  </si>
  <si>
    <t xml:space="preserve">Pending review</t>
  </si>
  <si>
    <t xml:space="preserve">'Only the RBF Management Team or Super Admin can verify milestone completion.'</t>
  </si>
  <si>
    <t xml:space="preserve">MCR-009</t>
  </si>
  <si>
    <t xml:space="preserve">Notes required</t>
  </si>
  <si>
    <t xml:space="preserve">1. Submit with empty notes</t>
  </si>
  <si>
    <t xml:space="preserve">Submit disabled / validation error</t>
  </si>
  <si>
    <t xml:space="preserve">SES-001</t>
  </si>
  <si>
    <t xml:space="preserve">Session</t>
  </si>
  <si>
    <t xml:space="preserve">Token expiry while active does not log user out</t>
  </si>
  <si>
    <t xml:space="preserve">Any</t>
  </si>
  <si>
    <t xml:space="preserve">Logged in; stay active &gt; 30 min (access token lifetime)</t>
  </si>
  <si>
    <t xml:space="preserve">1. Keep working past 30 min
2. Perform a create/update</t>
  </si>
  <si>
    <t xml:space="preserve">Action succeeds after silent token refresh; no 403 error, no redirect to login. (Known risk: currently expired tokens return 403 and may log out)</t>
  </si>
  <si>
    <t xml:space="preserve">SES-002</t>
  </si>
  <si>
    <t xml:space="preserve">Idle timeout logs user out</t>
  </si>
  <si>
    <t xml:space="preserve">Logged in</t>
  </si>
  <si>
    <t xml:space="preserve">1. Leave tab idle 30+ min
2. Return</t>
  </si>
  <si>
    <t xml:space="preserve">Session-expired message; redirected to login</t>
  </si>
  <si>
    <t xml:space="preserve">SES-003</t>
  </si>
  <si>
    <t xml:space="preserve">Multiple tabs</t>
  </si>
  <si>
    <t xml:space="preserve">Same user in two tabs</t>
  </si>
  <si>
    <t xml:space="preserve">1. Leave tab A idle, work in tab B past idle timeout</t>
  </si>
  <si>
    <t xml:space="preserve">Active tab B stays logged in (Known risk: idle tab clears shared tokens)</t>
  </si>
  <si>
    <t xml:space="preserve">SES-004</t>
  </si>
  <si>
    <t xml:space="preserve">Reliability</t>
  </si>
  <si>
    <t xml:space="preserve">CRUD returns no intermittent 500</t>
  </si>
  <si>
    <t xml:space="preserve">Deployed environment</t>
  </si>
  <si>
    <t xml:space="preserve">1. Repeat create/update actions over a long session, including after idle periods</t>
  </si>
  <si>
    <t xml:space="preserve">No HTTP 500; if a 500 occurs note time, endpoint and browser network trace in Defect Log</t>
  </si>
  <si>
    <t xml:space="preserve">SES-005</t>
  </si>
  <si>
    <t xml:space="preserve">Behaviour during deployment</t>
  </si>
  <si>
    <t xml:space="preserve">Deployment in progress</t>
  </si>
  <si>
    <t xml:space="preserve">1. Perform actions during a deploy</t>
  </si>
  <si>
    <t xml:space="preserve">Friendly error; user not logged out once service is back</t>
  </si>
  <si>
    <t xml:space="preserve">SES-006</t>
  </si>
  <si>
    <t xml:space="preserve">Request timeout handling</t>
  </si>
  <si>
    <t xml:space="preserve">Slow network (DevTools throttling)</t>
  </si>
  <si>
    <t xml:space="preserve">1. Submit a form on slow 3G</t>
  </si>
  <si>
    <t xml:space="preserve">Clear timeout message; no duplicate record after retry</t>
  </si>
  <si>
    <t xml:space="preserve">AUTH-001</t>
  </si>
  <si>
    <t xml:space="preserve">Login</t>
  </si>
  <si>
    <t xml:space="preserve">Login with username</t>
  </si>
  <si>
    <t xml:space="preserve">Active user</t>
  </si>
  <si>
    <t xml:space="preserve">1. Open login
2. Enter username and password
3. Click 'Sign In'</t>
  </si>
  <si>
    <t xml:space="preserve">Role dashboard opens; audit log 'login_succeeded'</t>
  </si>
  <si>
    <t xml:space="preserve">AUTH-002</t>
  </si>
  <si>
    <t xml:space="preserve">Login with email (case-insensitive)</t>
  </si>
  <si>
    <t xml:space="preserve">1. Enter email in UPPER case + password
2. Sign In</t>
  </si>
  <si>
    <t xml:space="preserve">Login succeeds</t>
  </si>
  <si>
    <t xml:space="preserve">AUTH-003</t>
  </si>
  <si>
    <t xml:space="preserve">Wrong password</t>
  </si>
  <si>
    <t xml:space="preserve">1. Enter wrong password
2. Sign In</t>
  </si>
  <si>
    <t xml:space="preserve">'Invalid username or password.'; audit log 'login_failed' with typed identifier and IP, no password</t>
  </si>
  <si>
    <t xml:space="preserve">AUTH-004</t>
  </si>
  <si>
    <t xml:space="preserve">Empty fields</t>
  </si>
  <si>
    <t xml:space="preserve">1. Leave password empty
2. Sign In</t>
  </si>
  <si>
    <t xml:space="preserve">'Please enter both username and password.'</t>
  </si>
  <si>
    <t xml:space="preserve">AUTH-005</t>
  </si>
  <si>
    <t xml:space="preserve">Inactive user cannot log in</t>
  </si>
  <si>
    <t xml:space="preserve">User deactivated</t>
  </si>
  <si>
    <t xml:space="preserve">1. Log in</t>
  </si>
  <si>
    <t xml:space="preserve">'Invalid username or password.'</t>
  </si>
  <si>
    <t xml:space="preserve">AUTH-006</t>
  </si>
  <si>
    <t xml:space="preserve">Brute force protection</t>
  </si>
  <si>
    <t xml:space="preserve">1. Submit 20 wrong passwords quickly</t>
  </si>
  <si>
    <t xml:space="preserve">Account lockout or throttling after repeated failures. (Code review: none exists — likely FAIL, raise as security defect)</t>
  </si>
  <si>
    <t xml:space="preserve">AUTH-007</t>
  </si>
  <si>
    <t xml:space="preserve">Password with leading/trailing space</t>
  </si>
  <si>
    <t xml:space="preserve">Vendor registered with password ' Secret123'</t>
  </si>
  <si>
    <t xml:space="preserve">1. Log in with the same password</t>
  </si>
  <si>
    <t xml:space="preserve">Login succeeds. (Code review: login trims password — likely FAIL)</t>
  </si>
  <si>
    <t xml:space="preserve">AUTH-008</t>
  </si>
  <si>
    <t xml:space="preserve">Backend unreachable message</t>
  </si>
  <si>
    <t xml:space="preserve">Backend stopped</t>
  </si>
  <si>
    <t xml:space="preserve">1. Sign In</t>
  </si>
  <si>
    <t xml:space="preserve">'Cannot connect to backend (...). Start backend and try again.'</t>
  </si>
  <si>
    <t xml:space="preserve">AUTH-009</t>
  </si>
  <si>
    <t xml:space="preserve">'Remember me' checkbox</t>
  </si>
  <si>
    <t xml:space="preserve">1. Tick Remember me
2. Close and reopen browser after token expiry</t>
  </si>
  <si>
    <t xml:space="preserve">Document behaviour (code review: checkbox has no effect)</t>
  </si>
  <si>
    <t xml:space="preserve">AUTH-010</t>
  </si>
  <si>
    <t xml:space="preserve">First login</t>
  </si>
  <si>
    <t xml:space="preserve">Admin-created user must change temporary password</t>
  </si>
  <si>
    <t xml:space="preserve">Any staff</t>
  </si>
  <si>
    <t xml:space="preserve">New user created by Super Admin</t>
  </si>
  <si>
    <t xml:space="preserve">1. Log in with temporary password
2. 'Set a New Password' screen -&gt; new password twice -&gt; 'Update Password'</t>
  </si>
  <si>
    <t xml:space="preserve">Password changed; app opens; audit 'password_changed'</t>
  </si>
  <si>
    <t xml:space="preserve">AUTH-011</t>
  </si>
  <si>
    <t xml:space="preserve">Forced change cannot be bypassed via API</t>
  </si>
  <si>
    <t xml:space="preserve">must_change_password = true</t>
  </si>
  <si>
    <t xml:space="preserve">1. With the login token, call any API (e.g. GET /api/projects/)</t>
  </si>
  <si>
    <t xml:space="preserve">API should refuse until password changed. (Code review: not enforced — likely FAIL)</t>
  </si>
  <si>
    <t xml:space="preserve">AUTH-012</t>
  </si>
  <si>
    <t xml:space="preserve">New password validators</t>
  </si>
  <si>
    <t xml:space="preserve">Forced change screen</t>
  </si>
  <si>
    <t xml:space="preserve">1. '12345678'
2. 'password1'
3. Mismatch</t>
  </si>
  <si>
    <t xml:space="preserve">'This password is entirely numeric.' / 'This password is too common.' / 'Passwords do not match.'</t>
  </si>
  <si>
    <t xml:space="preserve">AUTH-013</t>
  </si>
  <si>
    <t xml:space="preserve">Forgot password</t>
  </si>
  <si>
    <t xml:space="preserve">Request reset link</t>
  </si>
  <si>
    <t xml:space="preserve">SMTP configured</t>
  </si>
  <si>
    <t xml:space="preserve">1. 'Forgot Password?' -&gt; username or email -&gt; 'Send Reset Link'</t>
  </si>
  <si>
    <t xml:space="preserve">Generic message 'If an account with that username or email exists...'; email 'Reset your password' with link valid 1 hour</t>
  </si>
  <si>
    <t xml:space="preserve">AUTH-014</t>
  </si>
  <si>
    <t xml:space="preserve">Unknown account gives same message</t>
  </si>
  <si>
    <t xml:space="preserve">1. Request reset for non-existent email</t>
  </si>
  <si>
    <t xml:space="preserve">Same generic message (no account enumeration)</t>
  </si>
  <si>
    <t xml:space="preserve">AUTH-015</t>
  </si>
  <si>
    <t xml:space="preserve">Reset with valid token</t>
  </si>
  <si>
    <t xml:space="preserve">Reset link received</t>
  </si>
  <si>
    <t xml:space="preserve">1. Open link
2. New + confirm password
3. 'Reset Password'</t>
  </si>
  <si>
    <t xml:space="preserve">'Password has been reset successfully. You can now sign in.'; old password rejected</t>
  </si>
  <si>
    <t xml:space="preserve">AUTH-016</t>
  </si>
  <si>
    <t xml:space="preserve">Reused / expired token</t>
  </si>
  <si>
    <t xml:space="preserve">Token used or &gt; 1 hour old</t>
  </si>
  <si>
    <t xml:space="preserve">1. Open link and reset</t>
  </si>
  <si>
    <t xml:space="preserve">'Invalid or expired reset link.'</t>
  </si>
  <si>
    <t xml:space="preserve">AUTH-017</t>
  </si>
  <si>
    <t xml:space="preserve">Reset enforces full password policy</t>
  </si>
  <si>
    <t xml:space="preserve">Valid token</t>
  </si>
  <si>
    <t xml:space="preserve">1. New password '12345678'</t>
  </si>
  <si>
    <t xml:space="preserve">Rejected as numeric/common. (Code review: only length checked — likely FAIL)</t>
  </si>
  <si>
    <t xml:space="preserve">AUTH-018</t>
  </si>
  <si>
    <t xml:space="preserve">Missing token</t>
  </si>
  <si>
    <t xml:space="preserve">1. Open /reset-password without token</t>
  </si>
  <si>
    <t xml:space="preserve">'Invalid reset link. No token found.'</t>
  </si>
  <si>
    <t xml:space="preserve">AUTH-019</t>
  </si>
  <si>
    <t xml:space="preserve">Logout clears session</t>
  </si>
  <si>
    <t xml:space="preserve">1. Sidebar user card -&gt; 'Log Out'
2. Press browser Back</t>
  </si>
  <si>
    <t xml:space="preserve">Login page; protected pages not accessible</t>
  </si>
  <si>
    <t xml:space="preserve">AUTH-020</t>
  </si>
  <si>
    <t xml:space="preserve">Tokens revoked on logout / password reset</t>
  </si>
  <si>
    <t xml:space="preserve">Copy refresh token before logout or admin reset</t>
  </si>
  <si>
    <t xml:space="preserve">1. Call /auth/token/refresh/ with copied token after logout / reset</t>
  </si>
  <si>
    <t xml:space="preserve">Refresh refused. (Code review: tokens stay valid up to 7 days — likely FAIL)</t>
  </si>
  <si>
    <t xml:space="preserve">AUTH-021</t>
  </si>
  <si>
    <t xml:space="preserve">Idle warning before timeout</t>
  </si>
  <si>
    <t xml:space="preserve">1. Stay idle 28 minutes</t>
  </si>
  <si>
    <t xml:space="preserve">Warning shown before logout. (Code review: no listener — likely FAIL)</t>
  </si>
  <si>
    <t xml:space="preserve">AUTH-022</t>
  </si>
  <si>
    <t xml:space="preserve">Idle timeout in background tab</t>
  </si>
  <si>
    <t xml:space="preserve">1. Switch to another tab for 40 minutes
2. Return</t>
  </si>
  <si>
    <t xml:space="preserve">Logged out for inactivity. (Code review: background tabs never time out — likely FAIL)</t>
  </si>
  <si>
    <t xml:space="preserve">AUTH-023</t>
  </si>
  <si>
    <t xml:space="preserve">Deactivated while logged in</t>
  </si>
  <si>
    <t xml:space="preserve">User logged in</t>
  </si>
  <si>
    <t xml:space="preserve">1. Super Admin deactivates the user
2. User performs an action</t>
  </si>
  <si>
    <t xml:space="preserve">User logged out with session-expired message</t>
  </si>
  <si>
    <t xml:space="preserve">AUTH-024</t>
  </si>
  <si>
    <t xml:space="preserve">Restriction</t>
  </si>
  <si>
    <t xml:space="preserve">Suspended/blacklisted vendor banner</t>
  </si>
  <si>
    <t xml:space="preserve">Vendor Suspended or Blacklisted</t>
  </si>
  <si>
    <t xml:space="preserve">'Vendor Restriction Notice' banner with suspension/blacklist text</t>
  </si>
  <si>
    <t xml:space="preserve">USR-001</t>
  </si>
  <si>
    <t xml:space="preserve">Super Admin creates staff user</t>
  </si>
  <si>
    <t xml:space="preserve">1. User Management -&gt; 'Create User'
2. Full name, email, role RMT, gender
3. 'Create User'</t>
  </si>
  <si>
    <t xml:space="preserve">'User created and credentials email sent.'; username from email prefix; status Active; must change password; audit 'user_created'</t>
  </si>
  <si>
    <t xml:space="preserve">USR-002</t>
  </si>
  <si>
    <t xml:space="preserve">Field Verifier / DoE need a district</t>
  </si>
  <si>
    <t xml:space="preserve">1. Role Field Officer with no district
2. Create</t>
  </si>
  <si>
    <t xml:space="preserve">'At least one district is required for Field Officer and DoE roles.'</t>
  </si>
  <si>
    <t xml:space="preserve">USR-003</t>
  </si>
  <si>
    <t xml:space="preserve">Field Verifier district becomes verification zone</t>
  </si>
  <si>
    <t xml:space="preserve">1. Create Field Officer with district Maseru</t>
  </si>
  <si>
    <t xml:space="preserve">verification_zone = Maseru; receives tasks for Maseru installations</t>
  </si>
  <si>
    <t xml:space="preserve">USR-004</t>
  </si>
  <si>
    <t xml:space="preserve">Required fields and email format</t>
  </si>
  <si>
    <t xml:space="preserve">1. Missing gender
2. Email 'abc'</t>
  </si>
  <si>
    <t xml:space="preserve">'Full name, email, role, and gender are required.' / 'Enter a valid email address.'</t>
  </si>
  <si>
    <t xml:space="preserve">USR-005</t>
  </si>
  <si>
    <t xml:space="preserve">Cannot create Vendor or Super Admin</t>
  </si>
  <si>
    <t xml:space="preserve">1. Create with role Vendor via API</t>
  </si>
  <si>
    <t xml:space="preserve">'Role cannot be Vendor or Super Admin for admin-created users.'</t>
  </si>
  <si>
    <t xml:space="preserve">USR-006</t>
  </si>
  <si>
    <t xml:space="preserve">Duplicate email</t>
  </si>
  <si>
    <t xml:space="preserve">Existing user email</t>
  </si>
  <si>
    <t xml:space="preserve">1. Create another user with same email</t>
  </si>
  <si>
    <t xml:space="preserve">Rejected. (Code review: no email uniqueness — likely FAIL)</t>
  </si>
  <si>
    <t xml:space="preserve">USR-007</t>
  </si>
  <si>
    <t xml:space="preserve">Duplicate username suffix</t>
  </si>
  <si>
    <t xml:space="preserve">User 'john' exists</t>
  </si>
  <si>
    <t xml:space="preserve">1. Create user john@other.org</t>
  </si>
  <si>
    <t xml:space="preserve">Username john_2</t>
  </si>
  <si>
    <t xml:space="preserve">USR-008</t>
  </si>
  <si>
    <t xml:space="preserve">Role dropdown has no duplicates</t>
  </si>
  <si>
    <t xml:space="preserve">1. Open role dropdown</t>
  </si>
  <si>
    <t xml:space="preserve">Each role once. (Code review: PSC and UNDP map to same value)</t>
  </si>
  <si>
    <t xml:space="preserve">USR-009</t>
  </si>
  <si>
    <t xml:space="preserve">Edit user details</t>
  </si>
  <si>
    <t xml:space="preserve">1. Edit -&gt; change districts -&gt; 'Save Changes'</t>
  </si>
  <si>
    <t xml:space="preserve">'User updated successfully.'</t>
  </si>
  <si>
    <t xml:space="preserve">USR-010</t>
  </si>
  <si>
    <t xml:space="preserve">Deactivate</t>
  </si>
  <si>
    <t xml:space="preserve">Deactivate user</t>
  </si>
  <si>
    <t xml:space="preserve">1. View -&gt; 'Deactivate' -&gt; confirm</t>
  </si>
  <si>
    <t xml:space="preserve">'User deactivated.'; user cannot log in; audit 'user_deactivated'</t>
  </si>
  <si>
    <t xml:space="preserve">USR-011</t>
  </si>
  <si>
    <t xml:space="preserve">Reactivate a deactivated user</t>
  </si>
  <si>
    <t xml:space="preserve">User deactivated via button</t>
  </si>
  <si>
    <t xml:space="preserve">1. Edit -&gt; Status Active -&gt; Save
2. User logs in</t>
  </si>
  <si>
    <t xml:space="preserve">User can log in. (Code review: stays inactive — likely FAIL)</t>
  </si>
  <si>
    <t xml:space="preserve">USR-012</t>
  </si>
  <si>
    <t xml:space="preserve">Reset</t>
  </si>
  <si>
    <t xml:space="preserve">Admin resets password</t>
  </si>
  <si>
    <t xml:space="preserve">1. 'Reset Password'</t>
  </si>
  <si>
    <t xml:space="preserve">'Password reset email sent.'; user must change on next login; audit 'user_password_reset'</t>
  </si>
  <si>
    <t xml:space="preserve">USR-013</t>
  </si>
  <si>
    <t xml:space="preserve">Cannot delete own account</t>
  </si>
  <si>
    <t xml:space="preserve">1. DELETE own user via API</t>
  </si>
  <si>
    <t xml:space="preserve">'You cannot delete your own account.'</t>
  </si>
  <si>
    <t xml:space="preserve">USR-014</t>
  </si>
  <si>
    <t xml:space="preserve">List</t>
  </si>
  <si>
    <t xml:space="preserve">Filters and search</t>
  </si>
  <si>
    <t xml:space="preserve">1. Filter by role, district, status
2. Search by name</t>
  </si>
  <si>
    <t xml:space="preserve">Correct rows; 'No users matched the selected filters.' when none</t>
  </si>
  <si>
    <t xml:space="preserve">USR-015</t>
  </si>
  <si>
    <t xml:space="preserve">More than 50 users</t>
  </si>
  <si>
    <t xml:space="preserve">&gt; 50 staff users</t>
  </si>
  <si>
    <t xml:space="preserve">1. Open list; compare stat cards with DB</t>
  </si>
  <si>
    <t xml:space="preserve">All users reachable and counts correct. (Code review: only first 50 — likely FAIL)</t>
  </si>
  <si>
    <t xml:space="preserve">USR-016</t>
  </si>
  <si>
    <t xml:space="preserve">Non-admin cannot manage users</t>
  </si>
  <si>
    <t xml:space="preserve">1. Create / update user via API</t>
  </si>
  <si>
    <t xml:space="preserve">'Only Platform Administrator (Super Admin) can create accounts.' / '...can manage admin-created users.'</t>
  </si>
  <si>
    <t xml:space="preserve">RBAC-001</t>
  </si>
  <si>
    <t xml:space="preserve">Sidebar</t>
  </si>
  <si>
    <t xml:space="preserve">Each role sees exactly its menu</t>
  </si>
  <si>
    <t xml:space="preserve">All roles</t>
  </si>
  <si>
    <t xml:space="preserve">One account per role</t>
  </si>
  <si>
    <t xml:space="preserve">1. Log in as each role
2. Compare sidebar with the role menu list in the guide</t>
  </si>
  <si>
    <t xml:space="preserve">Menus match; no extra items</t>
  </si>
  <si>
    <t xml:space="preserve">RBAC-002</t>
  </si>
  <si>
    <t xml:space="preserve">Deep link</t>
  </si>
  <si>
    <t xml:space="preserve">Typed URLs respect role</t>
  </si>
  <si>
    <t xml:space="preserve">Vendor / Evaluation Committee</t>
  </si>
  <si>
    <t xml:space="preserve">1. As vendor open /app/gis
2. Open /app/reports and other staff routes</t>
  </si>
  <si>
    <t xml:space="preserve">Access denied or redirected. (Code review: GIS renders for any role and exposes beneficiary data — likely FAIL)</t>
  </si>
  <si>
    <t xml:space="preserve">RBAC-003</t>
  </si>
  <si>
    <t xml:space="preserve">Permissions</t>
  </si>
  <si>
    <t xml:space="preserve">Role permission matrix saves</t>
  </si>
  <si>
    <t xml:space="preserve">1. Master Data -&gt; Role Permissions -&gt; toggle -&gt; 'Save Permissions'</t>
  </si>
  <si>
    <t xml:space="preserve">'Role permissions updated successfully.'; sidebar reflects change; admin row not editable</t>
  </si>
  <si>
    <t xml:space="preserve">RBAC-004</t>
  </si>
  <si>
    <t xml:space="preserve">Revoked permission enforced on backend</t>
  </si>
  <si>
    <t xml:space="preserve">Super Admin removed a module permission from RMT</t>
  </si>
  <si>
    <t xml:space="preserve">1. RMT calls that module's API</t>
  </si>
  <si>
    <t xml:space="preserve">403. (Code review: only tender create/edit enforced)</t>
  </si>
  <si>
    <t xml:space="preserve">RBAC-005</t>
  </si>
  <si>
    <t xml:space="preserve">Admin APIs</t>
  </si>
  <si>
    <t xml:space="preserve">Super-Admin-only endpoints</t>
  </si>
  <si>
    <t xml:space="preserve">RMT / PSC</t>
  </si>
  <si>
    <t xml:space="preserve">1. GET/PATCH platform-configuration
2. GET system-health
3. GET admin/dashboard
4. Manage report schedules</t>
  </si>
  <si>
    <t xml:space="preserve">403 with 'Only Platform Administrator (Super Admin) can ...'</t>
  </si>
  <si>
    <t xml:space="preserve">RBAC-006</t>
  </si>
  <si>
    <t xml:space="preserve">KPI</t>
  </si>
  <si>
    <t xml:space="preserve">KPI dashboard scoping</t>
  </si>
  <si>
    <t xml:space="preserve">Vendor / DoE / Field Verifier</t>
  </si>
  <si>
    <t xml:space="preserve">1. Vendor opens another vendor's project KPI
2. DoE opens out-of-region KPI
3. Field Verifier opens portfolio KPI</t>
  </si>
  <si>
    <t xml:space="preserve">'You can only access KPI dashboards for your own projects.' / '...in your region.' / 'You do not have permission...'</t>
  </si>
  <si>
    <t xml:space="preserve">RBAC-007</t>
  </si>
  <si>
    <t xml:space="preserve">Data</t>
  </si>
  <si>
    <t xml:space="preserve">Vendor sees only own projects, claims, installations</t>
  </si>
  <si>
    <t xml:space="preserve">1. List projects, claims, installations, audit logs</t>
  </si>
  <si>
    <t xml:space="preserve">Only own records</t>
  </si>
  <si>
    <t xml:space="preserve">RBAC-008</t>
  </si>
  <si>
    <t xml:space="preserve">Vendor directory restricted</t>
  </si>
  <si>
    <t xml:space="preserve">Vendor / Field Verifier</t>
  </si>
  <si>
    <t xml:space="preserve">1. GET vendor directory</t>
  </si>
  <si>
    <t xml:space="preserve">'You do not have permission to view the vendor directory.'</t>
  </si>
  <si>
    <t xml:space="preserve">RBAC-009</t>
  </si>
  <si>
    <t xml:space="preserve">Media</t>
  </si>
  <si>
    <t xml:space="preserve">Uploaded files require authentication</t>
  </si>
  <si>
    <t xml:space="preserve">URL of an uploaded ID/certificate</t>
  </si>
  <si>
    <t xml:space="preserve">1. Open /media/... in a private window</t>
  </si>
  <si>
    <t xml:space="preserve">Access denied. (Code review: /media served publicly — likely FAIL, high severity)</t>
  </si>
  <si>
    <t xml:space="preserve">RBAC-010</t>
  </si>
  <si>
    <t xml:space="preserve">Public endpoints expose only public data</t>
  </si>
  <si>
    <t xml:space="preserve">1. GET inclusion-targets, public-portfolio KPI, tenders</t>
  </si>
  <si>
    <t xml:space="preserve">No personal or financial data</t>
  </si>
  <si>
    <t xml:space="preserve">CFG-001</t>
  </si>
  <si>
    <t xml:space="preserve">General</t>
  </si>
  <si>
    <t xml:space="preserve">Update inclusion target minimums</t>
  </si>
  <si>
    <t xml:space="preserve">1. Master Data -&gt; General Settings -&gt; targets 40/20/30 -&gt; 'Save Configuration'</t>
  </si>
  <si>
    <t xml:space="preserve">'System configuration updated.'; new projects default to new targets; audit 'platform_configuration_updated'</t>
  </si>
  <si>
    <t xml:space="preserve">CFG-002</t>
  </si>
  <si>
    <t xml:space="preserve">Percentage range validation</t>
  </si>
  <si>
    <t xml:space="preserve">1. Female target 101
2. Budget -1
3. Partial min 0</t>
  </si>
  <si>
    <t xml:space="preserve">'Enter a percentage between 0 and 100.' / 'National/Main Program Budget cannot be negative.' / 'Must be between 1 and 100.'</t>
  </si>
  <si>
    <t xml:space="preserve">CFG-003</t>
  </si>
  <si>
    <t xml:space="preserve">M2/M3 verification % accept invalid values</t>
  </si>
  <si>
    <t xml:space="preserve">1. Set M2 % = 0 and M3 % = 150 via API</t>
  </si>
  <si>
    <t xml:space="preserve">Rejected. (Code review: no validation — likely FAIL)</t>
  </si>
  <si>
    <t xml:space="preserve">CFG-004</t>
  </si>
  <si>
    <t xml:space="preserve">Partial payment minimum drives RMT review</t>
  </si>
  <si>
    <t xml:space="preserve">Super Admin / RMT</t>
  </si>
  <si>
    <t xml:space="preserve">1. Set partial min 60
2. RMT approves partial at 65%</t>
  </si>
  <si>
    <t xml:space="preserve">Accepted at 65%</t>
  </si>
  <si>
    <t xml:space="preserve">CFG-005</t>
  </si>
  <si>
    <t xml:space="preserve">Email</t>
  </si>
  <si>
    <t xml:space="preserve">Configure SMTP and send</t>
  </si>
  <si>
    <t xml:space="preserve">Valid SMTP account</t>
  </si>
  <si>
    <t xml:space="preserve">1. Email Configuration -&gt; host, port 587, TLS, user, password, from -&gt; Save
2. Trigger a password reset email</t>
  </si>
  <si>
    <t xml:space="preserve">Email delivered; password field shows masked placeholder; applies without restart</t>
  </si>
  <si>
    <t xml:space="preserve">CFG-006</t>
  </si>
  <si>
    <t xml:space="preserve">Port 465 SSL as described in guide</t>
  </si>
  <si>
    <t xml:space="preserve">SSL-only SMTP</t>
  </si>
  <si>
    <t xml:space="preserve">1. Port 465, Use TLS No
2. Send email</t>
  </si>
  <si>
    <t xml:space="preserve">Email delivered. (Code review: SSL unsupported — likely FAIL)</t>
  </si>
  <si>
    <t xml:space="preserve">CFG-007</t>
  </si>
  <si>
    <t xml:space="preserve">Notification toggles respected</t>
  </si>
  <si>
    <t xml:space="preserve">1. Disable email notifications
2. Publish a tender</t>
  </si>
  <si>
    <t xml:space="preserve">No emails sent. (Code review: toggle not enforced — likely FAIL)</t>
  </si>
  <si>
    <t xml:space="preserve">CFG-008</t>
  </si>
  <si>
    <t xml:space="preserve">Edit technical scoring criteria</t>
  </si>
  <si>
    <t xml:space="preserve">1. Evaluation Committee Scoring -&gt; change a max -&gt; Save</t>
  </si>
  <si>
    <t xml:space="preserve">New max used in evaluation; validation messages for missing label / max &gt; 100</t>
  </si>
  <si>
    <t xml:space="preserve">CFG-009</t>
  </si>
  <si>
    <t xml:space="preserve">Methods</t>
  </si>
  <si>
    <t xml:space="preserve">Add custom procurement method</t>
  </si>
  <si>
    <t xml:space="preserve">1. Add 'Framework 2026' visibility framework
2. Try to add 'Open Tendering'</t>
  </si>
  <si>
    <t xml:space="preserve">Custom added; "'Open Tendering' is a built-in procurement method and cannot be re-added."</t>
  </si>
  <si>
    <t xml:space="preserve">CFG-010</t>
  </si>
  <si>
    <t xml:space="preserve">Currencies</t>
  </si>
  <si>
    <t xml:space="preserve">Currency list rules</t>
  </si>
  <si>
    <t xml:space="preserve">1. Add duplicate USD
2. Delete all but one</t>
  </si>
  <si>
    <t xml:space="preserve">'Duplicate currency: ...'; last currency cannot be deleted</t>
  </si>
  <si>
    <t xml:space="preserve">CFG-011</t>
  </si>
  <si>
    <t xml:space="preserve">Max file size setting applies</t>
  </si>
  <si>
    <t xml:space="preserve">1. Set max file size 2 MB
2. Vendor uploads 3 MB prequal document</t>
  </si>
  <si>
    <t xml:space="preserve">'... is larger than the 2 MB limit.'</t>
  </si>
  <si>
    <t xml:space="preserve">CFG-012</t>
  </si>
  <si>
    <t xml:space="preserve">Organizations</t>
  </si>
  <si>
    <t xml:space="preserve">Create / edit / delete organization</t>
  </si>
  <si>
    <t xml:space="preserve">1. Create Organization
2. Edit
3. Delete (confirm)</t>
  </si>
  <si>
    <t xml:space="preserve">'Organization created.' / 'Organization updated.' / 'Organization deleted.'; empty name rejected</t>
  </si>
  <si>
    <t xml:space="preserve">SYS-001</t>
  </si>
  <si>
    <t xml:space="preserve">Health</t>
  </si>
  <si>
    <t xml:space="preserve">System Health page loads</t>
  </si>
  <si>
    <t xml:space="preserve">1. Open System Health</t>
  </si>
  <si>
    <t xml:space="preserve">Database, queue, scheduler, Prospect, storage and recent errors shown</t>
  </si>
  <si>
    <t xml:space="preserve">SYS-002</t>
  </si>
  <si>
    <t xml:space="preserve">Health reflects real status</t>
  </si>
  <si>
    <t xml:space="preserve">Stop the report scheduler (in a test env)</t>
  </si>
  <si>
    <t xml:space="preserve">Scheduler shown as down. (Code review: hard-coded 'Running' — likely FAIL)</t>
  </si>
  <si>
    <t xml:space="preserve">SYS-003</t>
  </si>
  <si>
    <t xml:space="preserve">Audit</t>
  </si>
  <si>
    <t xml:space="preserve">Audit log filters</t>
  </si>
  <si>
    <t xml:space="preserve">Super Admin / Auditor</t>
  </si>
  <si>
    <t xml:space="preserve">Activity exists</t>
  </si>
  <si>
    <t xml:space="preserve">1. Filter by actor, role, action, module, dates, record id -&gt; 'Apply'</t>
  </si>
  <si>
    <t xml:space="preserve">Matching entries only</t>
  </si>
  <si>
    <t xml:space="preserve">SYS-004</t>
  </si>
  <si>
    <t xml:space="preserve">Export audit log CSV and PDF</t>
  </si>
  <si>
    <t xml:space="preserve">1. Click 'CSV'
2. Click 'PDF'</t>
  </si>
  <si>
    <t xml:space="preserve">audit_logs.csv with all rows; audit_logs.pdf with newest 500</t>
  </si>
  <si>
    <t xml:space="preserve">SYS-005</t>
  </si>
  <si>
    <t xml:space="preserve">Key actions are logged</t>
  </si>
  <si>
    <t xml:space="preserve">Run E2E-01 and E2E-03 first</t>
  </si>
  <si>
    <t xml:space="preserve">1. Search audit log for each key action</t>
  </si>
  <si>
    <t xml:space="preserve">login, user changes, prequal, bid, evaluation, contract, claim approvals, payment, bank details viewed, config changes all present with actor, role and IP</t>
  </si>
  <si>
    <t xml:space="preserve">SYS-006</t>
  </si>
  <si>
    <t xml:space="preserve">More than 50 entries</t>
  </si>
  <si>
    <t xml:space="preserve">&gt; 50 entries</t>
  </si>
  <si>
    <t xml:space="preserve">1. Scroll audit log</t>
  </si>
  <si>
    <t xml:space="preserve">Pagination available. (Code review: first 50 only — likely FAIL)</t>
  </si>
  <si>
    <t xml:space="preserve">SYS-007</t>
  </si>
  <si>
    <t xml:space="preserve">Non-auditor sees only own actions</t>
  </si>
  <si>
    <t xml:space="preserve">1. GET audit logs</t>
  </si>
  <si>
    <t xml:space="preserve">Only own actions</t>
  </si>
  <si>
    <t xml:space="preserve">NTF-001</t>
  </si>
  <si>
    <t xml:space="preserve">Inbox</t>
  </si>
  <si>
    <t xml:space="preserve">Unread badge and mark read</t>
  </si>
  <si>
    <t xml:space="preserve">Unread notifications</t>
  </si>
  <si>
    <t xml:space="preserve">1. Check bell badge
2. Open a notification
3. 'Mark all read'</t>
  </si>
  <si>
    <t xml:space="preserve">Badge counts unread (99+ cap, red if high priority); marking updates counts</t>
  </si>
  <si>
    <t xml:space="preserve">NTF-002</t>
  </si>
  <si>
    <t xml:space="preserve">Archive, unarchive, delete, bulk</t>
  </si>
  <si>
    <t xml:space="preserve">1. Archive one
2. Move to inbox
3. Bulk select -&gt; Delete -&gt; confirm</t>
  </si>
  <si>
    <t xml:space="preserve">Correct boxes; deleted permanently</t>
  </si>
  <si>
    <t xml:space="preserve">NTF-003</t>
  </si>
  <si>
    <t xml:space="preserve">Filters and empty states</t>
  </si>
  <si>
    <t xml:space="preserve">1. Filter Unread with none unread</t>
  </si>
  <si>
    <t xml:space="preserve">'No unread notifications'</t>
  </si>
  <si>
    <t xml:space="preserve">NTF-004</t>
  </si>
  <si>
    <t xml:space="preserve">Users act only on own notifications</t>
  </si>
  <si>
    <t xml:space="preserve">Another user's notification id</t>
  </si>
  <si>
    <t xml:space="preserve">1. mark_read / delete it via API</t>
  </si>
  <si>
    <t xml:space="preserve">NTF-005</t>
  </si>
  <si>
    <t xml:space="preserve">Notifications cannot be created via API</t>
  </si>
  <si>
    <t xml:space="preserve">1. POST /api/notifications/</t>
  </si>
  <si>
    <t xml:space="preserve">'Notifications are created by the platform, not through this endpoint.'</t>
  </si>
  <si>
    <t xml:space="preserve">NTF-006</t>
  </si>
  <si>
    <t xml:space="preserve">Admin</t>
  </si>
  <si>
    <t xml:space="preserve">Super Admin delivery log</t>
  </si>
  <si>
    <t xml:space="preserve">1. Notifications -&gt; 'All users (delivery log)'</t>
  </si>
  <si>
    <t xml:space="preserve">All users' notifications; non-admin scope=all refused</t>
  </si>
  <si>
    <t xml:space="preserve">NTF-007</t>
  </si>
  <si>
    <t xml:space="preserve">Polling</t>
  </si>
  <si>
    <t xml:space="preserve">New notification appears without reload</t>
  </si>
  <si>
    <t xml:space="preserve">Two browsers</t>
  </si>
  <si>
    <t xml:space="preserve">1. Trigger an event for user B
2. Wait 20 s</t>
  </si>
  <si>
    <t xml:space="preserve">Badge updates within ~20 s</t>
  </si>
  <si>
    <t xml:space="preserve">NTF-008</t>
  </si>
  <si>
    <t xml:space="preserve">Push</t>
  </si>
  <si>
    <t xml:space="preserve">Browser push when tab hidden</t>
  </si>
  <si>
    <t xml:space="preserve">Push enabled in bell panel</t>
  </si>
  <si>
    <t xml:space="preserve">1. Hide tab; trigger event</t>
  </si>
  <si>
    <t xml:space="preserve">Browser notification shown</t>
  </si>
  <si>
    <t xml:space="preserve">RPT-001</t>
  </si>
  <si>
    <t xml:space="preserve">Generate</t>
  </si>
  <si>
    <t xml:space="preserve">Generate a report in PDF, Excel and CSV</t>
  </si>
  <si>
    <t xml:space="preserve">1. Reports -&gt; choose report -&gt; period 'This quarter' -&gt; PDF
2. Repeat Excel and CSV</t>
  </si>
  <si>
    <t xml:space="preserve">Job Queued -&gt; Generating -&gt; Ready; auto-download '&lt;title&gt; is ready and has been downloaded.'; 'Report ready' notification</t>
  </si>
  <si>
    <t xml:space="preserve">RPT-002</t>
  </si>
  <si>
    <t xml:space="preserve">Project/tender selection required</t>
  </si>
  <si>
    <t xml:space="preserve">1. Generate project report without a project</t>
  </si>
  <si>
    <t xml:space="preserve">'Choose a project for "&lt;title&gt;".'</t>
  </si>
  <si>
    <t xml:space="preserve">RPT-003</t>
  </si>
  <si>
    <t xml:space="preserve">Personal data report requires reason</t>
  </si>
  <si>
    <t xml:space="preserve">1. Beneficiary export with 5-char reason
2. With proper reason</t>
  </si>
  <si>
    <t xml:space="preserve">Refused; then generated and reason recorded in audit log</t>
  </si>
  <si>
    <t xml:space="preserve">RPT-004</t>
  </si>
  <si>
    <t xml:space="preserve">Invalid custom dates</t>
  </si>
  <si>
    <t xml:space="preserve">1. Start after end</t>
  </si>
  <si>
    <t xml:space="preserve">'The start date is after the end date.'</t>
  </si>
  <si>
    <t xml:space="preserve">RPT-005</t>
  </si>
  <si>
    <t xml:space="preserve">Scope</t>
  </si>
  <si>
    <t xml:space="preserve">Report outside role / scope</t>
  </si>
  <si>
    <t xml:space="preserve">Vendor / DoE</t>
  </si>
  <si>
    <t xml:space="preserve">1. Generate a staff-only report via API
2. DoE: project outside region</t>
  </si>
  <si>
    <t xml:space="preserve">'This report is not available to your role.' / 'That project is not in your reporting scope.'</t>
  </si>
  <si>
    <t xml:space="preserve">RPT-006</t>
  </si>
  <si>
    <t xml:space="preserve">Download someone else's report</t>
  </si>
  <si>
    <t xml:space="preserve">Another user's report id</t>
  </si>
  <si>
    <t xml:space="preserve">1. Download via API</t>
  </si>
  <si>
    <t xml:space="preserve">'You can only download reports you generated or that were shared with you.'</t>
  </si>
  <si>
    <t xml:space="preserve">RPT-007</t>
  </si>
  <si>
    <t xml:space="preserve">Formats</t>
  </si>
  <si>
    <t xml:space="preserve">GeoJSON, IATI XML and ZIP package</t>
  </si>
  <si>
    <t xml:space="preserve">RMT / PSC / Auditor</t>
  </si>
  <si>
    <t xml:space="preserve">1. Site register GeoJSON
2. Donor IATI XML
3. Auditor project package ZIP</t>
  </si>
  <si>
    <t xml:space="preserve">Files open correctly; ZIP has MANIFEST with SHA-256</t>
  </si>
  <si>
    <t xml:space="preserve">RPT-008</t>
  </si>
  <si>
    <t xml:space="preserve">Formal report review and approval (separation of duties)</t>
  </si>
  <si>
    <t xml:space="preserve">RMT A / RMT B / Super Admin</t>
  </si>
  <si>
    <t xml:space="preserve">Formal report generated by RMT A</t>
  </si>
  <si>
    <t xml:space="preserve">1. RMT A 'Submit for review'
2. RMT B 'Mark reviewed'
3. Super Admin 'Approve'
4. 'Share' with roles</t>
  </si>
  <si>
    <t xml:space="preserve">States Draft -&gt; In review -&gt; Reviewed -&gt; Approved; recipients notified with link</t>
  </si>
  <si>
    <t xml:space="preserve">RPT-009</t>
  </si>
  <si>
    <t xml:space="preserve">Preparer cannot review/approve own report</t>
  </si>
  <si>
    <t xml:space="preserve">1. RMT A reviews own report</t>
  </si>
  <si>
    <t xml:space="preserve">'A report must be reviewed and approved by someone other than the person who prepared or reviewed it.'</t>
  </si>
  <si>
    <t xml:space="preserve">RPT-010</t>
  </si>
  <si>
    <t xml:space="preserve">Return for correction and new version</t>
  </si>
  <si>
    <t xml:space="preserve">In review</t>
  </si>
  <si>
    <t xml:space="preserve">1. Reviewer 'Return to preparer' with notes
2. Preparer 'New version'</t>
  </si>
  <si>
    <t xml:space="preserve">Returned; new version Draft</t>
  </si>
  <si>
    <t xml:space="preserve">RPT-011</t>
  </si>
  <si>
    <t xml:space="preserve">Super Admin's own reports</t>
  </si>
  <si>
    <t xml:space="preserve">Report prepared by Super Admin</t>
  </si>
  <si>
    <t xml:space="preserve">1. Look for 'Submit for review'</t>
  </si>
  <si>
    <t xml:space="preserve">Button present. (Code review: hidden for Super Admin — likely FAIL)</t>
  </si>
  <si>
    <t xml:space="preserve">RPT-012</t>
  </si>
  <si>
    <t xml:space="preserve">Schedules</t>
  </si>
  <si>
    <t xml:space="preserve">Create monthly schedule</t>
  </si>
  <si>
    <t xml:space="preserve">1. Report Schedules -&gt; new: report, name, Monthly, day 5, format, prepared as, roles -&gt; Save
2. 'Run now'</t>
  </si>
  <si>
    <t xml:space="preserve">Schedule active; Run now produces report and distributes</t>
  </si>
  <si>
    <t xml:space="preserve">RPT-013</t>
  </si>
  <si>
    <t xml:space="preserve">Schedule validation</t>
  </si>
  <si>
    <t xml:space="preserve">1. Run day 29
2. Per-project report
3. Reason-required report</t>
  </si>
  <si>
    <t xml:space="preserve">'Choose a day between 1 and 28.' / 'Per-project reports cannot be scheduled.' / '...cannot be scheduled.'</t>
  </si>
  <si>
    <t xml:space="preserve">RPT-014</t>
  </si>
  <si>
    <t xml:space="preserve">Results</t>
  </si>
  <si>
    <t xml:space="preserve">Results framework indicators</t>
  </si>
  <si>
    <t xml:space="preserve">1. Add indicator code OUT1.1, target, manual actual</t>
  </si>
  <si>
    <t xml:space="preserve">Saved; RMT/PSC/Auditor/TAC can read; others cannot</t>
  </si>
  <si>
    <t xml:space="preserve">RPT-015</t>
  </si>
  <si>
    <t xml:space="preserve">KPI PDF</t>
  </si>
  <si>
    <t xml:space="preserve">Export KPI report PDF</t>
  </si>
  <si>
    <t xml:space="preserve">1. KPI tab -&gt; 'Export KPI Report PDF'</t>
  </si>
  <si>
    <t xml:space="preserve">KPI_Report_&lt;id&gt;_&lt;date&gt;.pdf downloads</t>
  </si>
  <si>
    <t xml:space="preserve">RPT-016</t>
  </si>
  <si>
    <t xml:space="preserve">Archive dossier and restore</t>
  </si>
  <si>
    <t xml:space="preserve">Completed (archived) project</t>
  </si>
  <si>
    <t xml:space="preserve">1. 'Archive Dossier (PDF)'
2. 'Restore for correction' with reason &gt;= 10 chars</t>
  </si>
  <si>
    <t xml:space="preserve">Dossier downloads; restore unlocks project; edits on archived project otherwise refused</t>
  </si>
  <si>
    <t xml:space="preserve">GIS-001</t>
  </si>
  <si>
    <t xml:space="preserve">Map</t>
  </si>
  <si>
    <t xml:space="preserve">Installations map with filters</t>
  </si>
  <si>
    <t xml:space="preserve">Installations exist</t>
  </si>
  <si>
    <t xml:space="preserve">1. GIS Mapping
2. Filter technology, district, household type, dates -&gt; 'Apply Filters'</t>
  </si>
  <si>
    <t xml:space="preserve">Markers coloured green/amber/red; summary counts correct</t>
  </si>
  <si>
    <t xml:space="preserve">GIS-002</t>
  </si>
  <si>
    <t xml:space="preserve">Filter options stay available</t>
  </si>
  <si>
    <t xml:space="preserve">1. Apply district Maseru
2. Open district dropdown again</t>
  </si>
  <si>
    <t xml:space="preserve">All districts still listed. (Code review: options shrink — likely FAIL)</t>
  </si>
  <si>
    <t xml:space="preserve">GIS-003</t>
  </si>
  <si>
    <t xml:space="preserve">Record cap message</t>
  </si>
  <si>
    <t xml:space="preserve">&gt; 1000 installations</t>
  </si>
  <si>
    <t xml:space="preserve">1. Open map</t>
  </si>
  <si>
    <t xml:space="preserve">'Showing first 1000 records'</t>
  </si>
  <si>
    <t xml:space="preserve">GIS-004</t>
  </si>
  <si>
    <t xml:space="preserve">Map data scoped by role</t>
  </si>
  <si>
    <t xml:space="preserve">Vendor / Field Verifier / DoE</t>
  </si>
  <si>
    <t xml:space="preserve">1. Open map as each role</t>
  </si>
  <si>
    <t xml:space="preserve">Vendor own only; verifier own area with blind fields; DoE own region</t>
  </si>
  <si>
    <t xml:space="preserve">GIS-005</t>
  </si>
  <si>
    <t xml:space="preserve">Popup</t>
  </si>
  <si>
    <t xml:space="preserve">Popup content escaped</t>
  </si>
  <si>
    <t xml:space="preserve">Installation with beneficiary name '&lt;b&gt;x&lt;/b&gt;'</t>
  </si>
  <si>
    <t xml:space="preserve">1. Open popup</t>
  </si>
  <si>
    <t xml:space="preserve">Text shown literally, not rendered as HTML</t>
  </si>
  <si>
    <t xml:space="preserve">PRS-001</t>
  </si>
  <si>
    <t xml:space="preserve">Connection</t>
  </si>
  <si>
    <t xml:space="preserve">Check connection</t>
  </si>
  <si>
    <t xml:space="preserve">1. Prospect Sync -&gt; 'Check Connection'</t>
  </si>
  <si>
    <t xml:space="preserve">Read/Write token 'Working' or 'Unavailable', or 'No Prospect base URL configured.'</t>
  </si>
  <si>
    <t xml:space="preserve">PRS-002</t>
  </si>
  <si>
    <t xml:space="preserve">Sync</t>
  </si>
  <si>
    <t xml:space="preserve">New installation queued for sync</t>
  </si>
  <si>
    <t xml:space="preserve">Prospect configured</t>
  </si>
  <si>
    <t xml:space="preserve">1. Submit installation
2. Check sync log</t>
  </si>
  <si>
    <t xml:space="preserve">pushInstallation log entry success</t>
  </si>
  <si>
    <t xml:space="preserve">PRS-003</t>
  </si>
  <si>
    <t xml:space="preserve">Retry</t>
  </si>
  <si>
    <t xml:space="preserve">Retry failed jobs</t>
  </si>
  <si>
    <t xml:space="preserve">Failed job exists</t>
  </si>
  <si>
    <t xml:space="preserve">1. 'Retry All Failed'</t>
  </si>
  <si>
    <t xml:space="preserve">'Queued N failed Prospect sync job(s).'</t>
  </si>
  <si>
    <t xml:space="preserve">PRS-004</t>
  </si>
  <si>
    <t xml:space="preserve">Failing job reaches Failed after 3 attempts</t>
  </si>
  <si>
    <t xml:space="preserve">Prospect returning errors</t>
  </si>
  <si>
    <t xml:space="preserve">1. Watch a job over 20 minutes</t>
  </si>
  <si>
    <t xml:space="preserve">Status Failed after 3 attempts. (Code review: retries forever at attempt 1 — likely FAIL)</t>
  </si>
  <si>
    <t xml:space="preserve">PRS-005</t>
  </si>
  <si>
    <t xml:space="preserve">Manual</t>
  </si>
  <si>
    <t xml:space="preserve">Manual Sync button</t>
  </si>
  <si>
    <t xml:space="preserve">Failed job row</t>
  </si>
  <si>
    <t xml:space="preserve">1. Click 'Manual Sync'</t>
  </si>
  <si>
    <t xml:space="preserve">'Manual sync triggered for ...'. (Code review: wrong action name — likely 404/400)</t>
  </si>
  <si>
    <t xml:space="preserve">PRS-006</t>
  </si>
  <si>
    <t xml:space="preserve">Non-admin cannot trigger sync</t>
  </si>
  <si>
    <t xml:space="preserve">1. Call retry endpoint</t>
  </si>
  <si>
    <t xml:space="preserve">'You do not have permission to retry Prospect sync jobs.'</t>
  </si>
  <si>
    <t xml:space="preserve">NFR-001</t>
  </si>
  <si>
    <t xml:space="preserve">Uploads</t>
  </si>
  <si>
    <t xml:space="preserve">Multi-file request above 10 MB total</t>
  </si>
  <si>
    <t xml:space="preserve">1. Upload 5 photos of 4 MB in one verification / bid with several files totalling &gt; 10 MB</t>
  </si>
  <si>
    <t xml:space="preserve">Accepted (each file within limit). (Code review: nginx 10 MB per request -&gt; 413 — likely FAIL)</t>
  </si>
  <si>
    <t xml:space="preserve">NFR-002</t>
  </si>
  <si>
    <t xml:space="preserve">Field verification photo type check</t>
  </si>
  <si>
    <t xml:space="preserve">1. Upload a .exe renamed .jpg and a .pdf as photos</t>
  </si>
  <si>
    <t xml:space="preserve">Rejected. (Code review: no type check — likely FAIL)</t>
  </si>
  <si>
    <t xml:space="preserve">NFR-003</t>
  </si>
  <si>
    <t xml:space="preserve">File signature (magic bytes) check</t>
  </si>
  <si>
    <t xml:space="preserve">1. Upload .txt renamed .pdf as prequal document</t>
  </si>
  <si>
    <t xml:space="preserve">'... does not look like a valid PDF file.'</t>
  </si>
  <si>
    <t xml:space="preserve">NFR-004</t>
  </si>
  <si>
    <t xml:space="preserve">Input</t>
  </si>
  <si>
    <t xml:space="preserve">Script injection in text fields</t>
  </si>
  <si>
    <t xml:space="preserve">1. Enter &lt;script&gt;alert(1)&lt;/script&gt; in tender name, notes, comments
2. View in lists, PDFs, emails</t>
  </si>
  <si>
    <t xml:space="preserve">Shown as text everywhere; no script executes</t>
  </si>
  <si>
    <t xml:space="preserve">NFR-005</t>
  </si>
  <si>
    <t xml:space="preserve">SQL-like input</t>
  </si>
  <si>
    <t xml:space="preserve">1. Search with ' OR 1=1 --</t>
  </si>
  <si>
    <t xml:space="preserve">Treated as text; no error</t>
  </si>
  <si>
    <t xml:space="preserve">NFR-006</t>
  </si>
  <si>
    <t xml:space="preserve">Performance</t>
  </si>
  <si>
    <t xml:space="preserve">Page load times</t>
  </si>
  <si>
    <t xml:space="preserve">Realistic data volume</t>
  </si>
  <si>
    <t xml:space="preserve">1. Measure dashboard, Projects Hub, Disbursements, GIS load</t>
  </si>
  <si>
    <t xml:space="preserve">Each page usable within 3 s on office network</t>
  </si>
  <si>
    <t xml:space="preserve">NFR-007</t>
  </si>
  <si>
    <t xml:space="preserve">Concurrent users</t>
  </si>
  <si>
    <t xml:space="preserve">Multiple</t>
  </si>
  <si>
    <t xml:space="preserve">1. 20 users perform CRUD simultaneously for 15 minutes</t>
  </si>
  <si>
    <t xml:space="preserve">No 500/502/504; responses &lt; 5 s</t>
  </si>
  <si>
    <t xml:space="preserve">NFR-008</t>
  </si>
  <si>
    <t xml:space="preserve">Timeouts</t>
  </si>
  <si>
    <t xml:space="preserve">Long operations</t>
  </si>
  <si>
    <t xml:space="preserve">1. Approve intent to award, confirm award, generate contract PDF</t>
  </si>
  <si>
    <t xml:space="preserve">Complete within their timeouts (45-60 s) without duplicate records</t>
  </si>
  <si>
    <t xml:space="preserve">NFR-009</t>
  </si>
  <si>
    <t xml:space="preserve">Pagination</t>
  </si>
  <si>
    <t xml:space="preserve">Lists over 50 items</t>
  </si>
  <si>
    <t xml:space="preserve">&gt; 50 records in claims, installations, tenders</t>
  </si>
  <si>
    <t xml:space="preserve">1. Scroll lists; compare sidebar badge counts with real totals</t>
  </si>
  <si>
    <t xml:space="preserve">All records reachable; badge counts correct. (Code review: badges capped at 50)</t>
  </si>
  <si>
    <t xml:space="preserve">NFR-010</t>
  </si>
  <si>
    <t xml:space="preserve">Browser</t>
  </si>
  <si>
    <t xml:space="preserve">Cross-browser</t>
  </si>
  <si>
    <t xml:space="preserve">Compatibility</t>
  </si>
  <si>
    <t xml:space="preserve">1. Run E2E-01 in Chrome, Firefox, Edge, Safari</t>
  </si>
  <si>
    <t xml:space="preserve">Works identically</t>
  </si>
  <si>
    <t xml:space="preserve">NFR-011</t>
  </si>
  <si>
    <t xml:space="preserve">Mobile / tablet layout</t>
  </si>
  <si>
    <t xml:space="preserve">Field Verifier / Vendor</t>
  </si>
  <si>
    <t xml:space="preserve">Phone and tablet</t>
  </si>
  <si>
    <t xml:space="preserve">1. Field verification and installation submission on mobile</t>
  </si>
  <si>
    <t xml:space="preserve">Usable; GPS capture works; no horizontal scrolling</t>
  </si>
  <si>
    <t xml:space="preserve">NFR-012</t>
  </si>
  <si>
    <t xml:space="preserve">HTTPS, HSTS and frame protection</t>
  </si>
  <si>
    <t xml:space="preserve">Production URL</t>
  </si>
  <si>
    <t xml:space="preserve">1. Open over http
2. Check headers
3. Embed in iframe</t>
  </si>
  <si>
    <t xml:space="preserve">Redirect to HTTPS; HSTS present; X-Frame-Options DENY</t>
  </si>
  <si>
    <t xml:space="preserve">NFR-013</t>
  </si>
  <si>
    <t xml:space="preserve">API docs exposure</t>
  </si>
  <si>
    <t xml:space="preserve">1. Open /api/docs/ in production</t>
  </si>
  <si>
    <t xml:space="preserve">Not publicly accessible (decide with team)</t>
  </si>
  <si>
    <t xml:space="preserve">Scenario ID</t>
  </si>
  <si>
    <t xml:space="preserve">Scenario</t>
  </si>
  <si>
    <t xml:space="preserve">Goal</t>
  </si>
  <si>
    <t xml:space="preserve">Flow (roles in order)</t>
  </si>
  <si>
    <t xml:space="preserve">Covers TC IDs</t>
  </si>
  <si>
    <t xml:space="preserve">Notes</t>
  </si>
  <si>
    <t xml:space="preserve">E2E-01</t>
  </si>
  <si>
    <t xml:space="preserve">Procurement — registration to awarded contract</t>
  </si>
  <si>
    <t xml:space="preserve">Prove a new vendor can register, pre-qualify, bid, be evaluated and be awarded, producing a PBA contract.</t>
  </si>
  <si>
    <t xml:space="preserve">1. Vendor: register (OTP) and submit pre-qualification
2. RMT: start review -&gt; approve
3. RMT: create tender (EOI -&gt; Combined) -&gt; Verify -&gt; Request Publish Approval
4. Super Admin: approve publication
5. RMT: Publish (vendors notified)
6. Vendor: submit EOI
7. RMT: shortlist EOI
8. Vendor: submit final combined proposal
9. Super Admin: assign 3-member Evaluation Committee
10. EC members: attest COI, score technical, Submit &amp; Lock
11. RMT: Open Financial Stage
12. EC: finalize financial scores; suggest the same winner
13. RMT: request Intent to Award
14. Super Admin: Approve &amp; Issue (standstill starts)
15. RMT: after cooling-off, Confirm Final Award
16. Vendor: 'Performance-Based Agreement Ready' -&gt; continue with E2E-03</t>
  </si>
  <si>
    <t xml:space="preserve">REG-001 · PQ-001,009 · TND-001 · PUB-001,002,005,009 · EOI-001,003,007 · BID-001 · EVL-001,004,007,013,015,017 · AWD-001,005,015</t>
  </si>
  <si>
    <t xml:space="preserve">E2E-02</t>
  </si>
  <si>
    <t xml:space="preserve">Award challenge during standstill</t>
  </si>
  <si>
    <t xml:space="preserve">Prove a losing bidder can challenge and the award pauses until RMT resolves it.</t>
  </si>
  <si>
    <t xml:space="preserve">1. Reach Standstill (E2E-01 up to intent approval) with 2 bidders
2. Losing vendor: 'Challenge Award Decision'
3. Tender shows Disputed; Confirm Final Award blocked
4. RMT: dismiss challenge -&gt; Standstill resumes
5. Repeat with a new challenge -&gt; uphold -&gt; new intent request for challenger
6. Super Admin approves; confirm after cooling-off</t>
  </si>
  <si>
    <t xml:space="preserve">AWD-008,010,012,016</t>
  </si>
  <si>
    <t xml:space="preserve">E2E-03</t>
  </si>
  <si>
    <t xml:space="preserve">Happy path — full lifecycle with default 0/50/50 split</t>
  </si>
  <si>
    <t xml:space="preserve">Prove a project can go from approved contract to Completed with every role acting once.</t>
  </si>
  <si>
    <t xml:space="preserve">1. RMT: generate PBA
2. Vendor: upload signed PDF
3. RMT: approve contract; assign project (0/50/50, target 5)
4. Vendor: submit setup
5. RMT: Start Review -&gt; Approve Setup
6. RMT: M1 'Verify &amp; proceed' (M1 is 0%, no claim)
7. Vendor: submit 4 installations + meter CSV
8. Field Verifier: verify all 4
9. DoE: acknowledge verifications
10. RMT: verify meter batch
11. Vendor: submit M2 claim
12. RMT approve -&gt; TAC endorse -&gt; PSC approve -&gt; RMT Confirm Payment
13. RMT: M2 'Verify &amp; proceed'
14. Vendor: 5th installation; Field Verifier verifies
15. Vendor: submit M3 claim
16. RMT -&gt; TAC -&gt; PSC -&gt; RMT Confirm Payment
17. RMT: 'Verify &amp; complete project'</t>
  </si>
  <si>
    <t xml:space="preserve">CON-001,004,008 · ASG-001 · SET-002,012,013 · MS-001,003,008 · INS-001 · FV-001 · DOE-001 · MTR-001,005 · CLM-001 · APR-001,009,012,017 · MCR-001,005</t>
  </si>
  <si>
    <t xml:space="preserve">E2E-04</t>
  </si>
  <si>
    <t xml:space="preserve">Partial payment and carry-over</t>
  </si>
  <si>
    <t xml:space="preserve">Prove a partial M2 payment carries the shortfall into M3 and settles on payment.</t>
  </si>
  <si>
    <t xml:space="preserve">1. Reach M2 claimable with 85% verified (M2 requirement lowered to 80%)
2. RMT: Approve partially at 85% with deficiencies
3. TAC endorse, PSC approve, RMT confirm payment
4. Check 'Milestone Shortfall Carried Over' activity
5. Reach M3, submit claim
6. Check M3 claim amount = M3 amount + shortfall
7. Complete M3 payment; carry-over shown Settled</t>
  </si>
  <si>
    <t xml:space="preserve">APR-002,003,005,022 · CLM-002</t>
  </si>
  <si>
    <t xml:space="preserve">E2E-05</t>
  </si>
  <si>
    <t xml:space="preserve">Every send-back path</t>
  </si>
  <si>
    <t xml:space="preserve">Prove each reviewer can send work back and the submitter can recover.</t>
  </si>
  <si>
    <t xml:space="preserve">1. RMT: reject contract -&gt; Vendor re-uploads
2. RMT: request setup changes -&gt; Vendor resubmits
3. Field Verifier: flag installation -&gt; Vendor Fix &amp; Resubmit -&gt; re-verify
4. DoE: request re-verification -&gt; Verifier re-verifies
5. RMT: return claim for completion -&gt; Vendor resubmits
6. TAC: push back to RMT -&gt; RMT approves again
7. PSC: reject claim -&gt; Vendor files new claim -&gt; full chain</t>
  </si>
  <si>
    <t xml:space="preserve">CON-009 · SET-014,017 · FV-012 · DOE-004 · APR-007,010,013 · CLM-007</t>
  </si>
  <si>
    <t xml:space="preserve">E2E-06</t>
  </si>
  <si>
    <t xml:space="preserve">Payment holds</t>
  </si>
  <si>
    <t xml:space="preserve">Prove oversight, anomaly and audit findings stop payment until resolved.</t>
  </si>
  <si>
    <t xml:space="preserve">1. Claim at RMT Approved
2. PSC: Flagged review with 'Hold milestone payments'
3. TAC: endorse blocked (409, button disabled)
4. RMT: resolve follow-up -&gt; TAC endorse works
5. Auditor: open audit case on claim -&gt; PSC approve blocked
6. Close audit case -&gt; PSC approve works
7. Escalated anomaly -&gt; confirm payment blocked -&gt; resolve -&gt; works</t>
  </si>
  <si>
    <t xml:space="preserve">OVS-002,003 · AUC-005 · APR-025 · ANM-007</t>
  </si>
  <si>
    <t xml:space="preserve">E2E-07</t>
  </si>
  <si>
    <t xml:space="preserve">Close project early at M1</t>
  </si>
  <si>
    <t xml:space="preserve">Prove RMT can stop a project at the 0% mobilization milestone.</t>
  </si>
  <si>
    <t xml:space="preserve">1. Assign project with default split
2. Approve setup
3. RMT: M1 completion review -&gt; 'Close project' with notes
4. Check project Closed, M2 and M3 Cancelled, vendor notified</t>
  </si>
  <si>
    <t xml:space="preserve">E2E-08</t>
  </si>
  <si>
    <t xml:space="preserve">Prove remaining milestones move to a new vendor after a paid milestone.</t>
  </si>
  <si>
    <t xml:space="preserve">1. Complete and pay M2
2. RMT: 'Verify &amp; transfer to another vendor' -&gt; pick vendor B
3. Vendor B: sees project, notified 'Project Transferred To You'
4. Vendor A: no longer can submit for the project</t>
  </si>
  <si>
    <t xml:space="preserve">MCR-002,003</t>
  </si>
  <si>
    <t xml:space="preserve">E2E-09</t>
  </si>
  <si>
    <t xml:space="preserve">Blacklisting halts a project</t>
  </si>
  <si>
    <t xml:space="preserve">Prove a blacklisted vendor's project and payments are frozen.</t>
  </si>
  <si>
    <t xml:space="preserve">1. Project Active with claim in chain
2. Super Admin: blacklist the vendor
3. Project shows Halted; claims Held/Audit
4. Vendor: claim submission blocked
5. Field Verifier: verification paused</t>
  </si>
  <si>
    <t xml:space="preserve">BLK-003,006 · CLM-006 · FV-010</t>
  </si>
  <si>
    <t xml:space="preserve">E2E-10</t>
  </si>
  <si>
    <t xml:space="preserve">Long session stability</t>
  </si>
  <si>
    <t xml:space="preserve">Prove no intermittent 500s or forced logouts during a working day.</t>
  </si>
  <si>
    <t xml:space="preserve">1. Log in as RMT
2. Work for 2 hours with actions every few minutes, including a 25-minute pause
3. Open two tabs; idle one
4. Record every 500 / logout with time and network trace</t>
  </si>
  <si>
    <t xml:space="preserve">SES-001..006</t>
  </si>
  <si>
    <t xml:space="preserve">Role (as in app)</t>
  </si>
  <si>
    <t xml:space="preserve">Needed for</t>
  </si>
  <si>
    <t xml:space="preserve">Required setup</t>
  </si>
  <si>
    <t xml:space="preserve">Username (fill in)</t>
  </si>
  <si>
    <t xml:space="preserve">Password / notes (fill in)</t>
  </si>
  <si>
    <t xml:space="preserve">Platform Administrator (Super Admin)</t>
  </si>
  <si>
    <t xml:space="preserve">Platform Configuration, users, inclusion targets, blacklisting, budget</t>
  </si>
  <si>
    <t xml:space="preserve">Inclusion targets totalling &lt;= 100% for M3 tests; national budget set</t>
  </si>
  <si>
    <t xml:space="preserve">RBF Management Team (RMT)</t>
  </si>
  <si>
    <t xml:space="preserve">Contract, assignment, setup review, meter/anomaly review, claim approval, payment, milestone decisions</t>
  </si>
  <si>
    <t xml:space="preserve">Vendor A</t>
  </si>
  <si>
    <t xml:space="preserve">Bidding, contract, setup, installations, claims</t>
  </si>
  <si>
    <t xml:space="preserve">Pre-qualified; owns an Awarded bid; bank details on profile</t>
  </si>
  <si>
    <t xml:space="preserve">Security tests (cross-vendor) and project transfer</t>
  </si>
  <si>
    <t xml:space="preserve">Pre-qualified, active, not blacklisted</t>
  </si>
  <si>
    <t xml:space="preserve">Field verification</t>
  </si>
  <si>
    <t xml:space="preserve">verification_zone = the project district</t>
  </si>
  <si>
    <t xml:space="preserve">Field Verifier (other district)</t>
  </si>
  <si>
    <t xml:space="preserve">Security test: district restriction</t>
  </si>
  <si>
    <t xml:space="preserve">verification_zone = a different district</t>
  </si>
  <si>
    <t xml:space="preserve">Acknowledge / re-verify, site visits, KPI reviews</t>
  </si>
  <si>
    <t xml:space="preserve">Region includes the project district</t>
  </si>
  <si>
    <t xml:space="preserve">DoE Officer (other region)</t>
  </si>
  <si>
    <t xml:space="preserve">Security test: region restriction</t>
  </si>
  <si>
    <t xml:space="preserve">Region excludes the project district</t>
  </si>
  <si>
    <t xml:space="preserve">TAC Member</t>
  </si>
  <si>
    <t xml:space="preserve">Claim endorsement</t>
  </si>
  <si>
    <t xml:space="preserve">Project Steering Committee (PSC)</t>
  </si>
  <si>
    <t xml:space="preserve">Final claim approval, oversight, holds</t>
  </si>
  <si>
    <t xml:space="preserve">Audit cases and holds</t>
  </si>
  <si>
    <t xml:space="preserve">Evaluation Committee member(s)</t>
  </si>
  <si>
    <t xml:space="preserve">Bid evaluation</t>
  </si>
  <si>
    <t xml:space="preserve">Assigned to the tender's evaluation</t>
  </si>
  <si>
    <t xml:space="preserve">Test data to prepare</t>
  </si>
  <si>
    <t xml:space="preserve">Item</t>
  </si>
  <si>
    <t xml:space="preserve">Rule enforced by the system</t>
  </si>
  <si>
    <t xml:space="preserve">Prepared? (Y/N)</t>
  </si>
  <si>
    <t xml:space="preserve">Signed contract</t>
  </si>
  <si>
    <t xml:space="preserve">PDF only, max 10 MB (prepare 2 MB valid, 10.5 MB invalid, a .docx)</t>
  </si>
  <si>
    <t xml:space="preserve">Setup documents</t>
  </si>
  <si>
    <t xml:space="preserve">PDF or DOCX, max 5 MB each: team roster, equipment plan, compliance docs, insurance certificate</t>
  </si>
  <si>
    <t xml:space="preserve">Device brand / model</t>
  </si>
  <si>
    <t xml:space="preserve">Must exactly match the awarded bid</t>
  </si>
  <si>
    <t xml:space="preserve">Installation GPS points</t>
  </si>
  <si>
    <t xml:space="preserve">Inside Lesotho and inside the project district; &gt; 10 m apart; one point outside Lesotho and one in another district for negative tests</t>
  </si>
  <si>
    <t xml:space="preserve">Verifier GPS</t>
  </si>
  <si>
    <t xml:space="preserve">Within 50 m of the vendor point (and one at ~60 m for the mismatch test)</t>
  </si>
  <si>
    <t xml:space="preserve">Serial numbers / Beneficiary IDs</t>
  </si>
  <si>
    <t xml:space="preserve">Unique programme-wide; reuse one for duplicate tests</t>
  </si>
  <si>
    <t xml:space="preserve">Photos</t>
  </si>
  <si>
    <t xml:space="preserve">jpg/png, &lt;= 5 MB, up to 5 per installation; one 6 MB file for limit tests</t>
  </si>
  <si>
    <t xml:space="preserve">Meter CSV</t>
  </si>
  <si>
    <t xml:space="preserve">CSV &lt;= 5 MB; meter_id/installation_id must match the project's installations; readings dated within 30 days</t>
  </si>
  <si>
    <t xml:space="preserve">Bank reference</t>
  </si>
  <si>
    <t xml:space="preserve">Any string, e.g. IFMS-2026-00123</t>
  </si>
  <si>
    <t xml:space="preserve">Defect Log — one row per defect. Row 3 is an example; overwrite or delete it.</t>
  </si>
  <si>
    <t xml:space="preserve">Title</t>
  </si>
  <si>
    <t xml:space="preserve">Severity</t>
  </si>
  <si>
    <t xml:space="preserve">Steps to reproduce</t>
  </si>
  <si>
    <t xml:space="preserve">Expected</t>
  </si>
  <si>
    <t xml:space="preserve">Actual (attach screenshot / network log)</t>
  </si>
  <si>
    <t xml:space="preserve">Reported By</t>
  </si>
  <si>
    <t xml:space="preserve">Reported Date</t>
  </si>
  <si>
    <t xml:space="preserve">Assigned To</t>
  </si>
  <si>
    <t xml:space="preserve">Fixed In Build</t>
  </si>
  <si>
    <t xml:space="preserve">Retest Result</t>
  </si>
  <si>
    <t xml:space="preserve">DEF-001</t>
  </si>
  <si>
    <t xml:space="preserve">403 'token_not_valid' after 30 minutes logs user out</t>
  </si>
  <si>
    <t xml:space="preserve">High</t>
  </si>
  <si>
    <t xml:space="preserve">1. Log in as RMT
2. Work continuously for 31 minutes
3. Approve a claim</t>
  </si>
  <si>
    <t xml:space="preserve">Claim approved after silent token refresh</t>
  </si>
  <si>
    <t xml:space="preserve">HTTP 403 token_not_valid; redirected to login on reload</t>
  </si>
  <si>
    <t xml:space="preserve">Open</t>
  </si>
  <si>
    <t xml:space="preserve">QA name</t>
  </si>
  <si>
    <t xml:space="preserve">2026-10-12</t>
  </si>
  <si>
    <t xml:space="preserve">Backend team</t>
  </si>
  <si>
    <t xml:space="preserve">#</t>
  </si>
  <si>
    <t xml:space="preserve">Area</t>
  </si>
  <si>
    <t xml:space="preserve">Risk found in code review</t>
  </si>
  <si>
    <t xml:space="preserve">How to confirm</t>
  </si>
  <si>
    <t xml:space="preserve">Related TC</t>
  </si>
  <si>
    <t xml:space="preserve">Confirmed? (Y/N)</t>
  </si>
  <si>
    <t xml:space="preserve">Uploaded files under /media/ are served without authentication — IDs, certificates and bank documents are downloadable by anyone with the URL.</t>
  </si>
  <si>
    <t xml:space="preserve">Open a /media/ file URL in a private window.</t>
  </si>
  <si>
    <t xml:space="preserve">No login lockout or throttling; unlimited password guesses.</t>
  </si>
  <si>
    <t xml:space="preserve">Run AUTH-006.</t>
  </si>
  <si>
    <t xml:space="preserve">Forced first-login password change is enforced only in the UI; the API works with the token.</t>
  </si>
  <si>
    <t xml:space="preserve">Run AUTH-011.</t>
  </si>
  <si>
    <t xml:space="preserve">Logout and password resets do not revoke tokens (refresh valid 7 days).</t>
  </si>
  <si>
    <t xml:space="preserve">Run AUTH-020.</t>
  </si>
  <si>
    <t xml:space="preserve">Any role can open the GIS map via a typed URL and see beneficiary data.</t>
  </si>
  <si>
    <t xml:space="preserve">Run RBAC-002.</t>
  </si>
  <si>
    <t xml:space="preserve">Procurement</t>
  </si>
  <si>
    <t xml:space="preserve">RMT can PATCH a tender's status to Published, bypassing verification, Super Admin approval and notifications.</t>
  </si>
  <si>
    <t xml:space="preserve">Run TND-014.</t>
  </si>
  <si>
    <t xml:space="preserve">Publishing with no approved vendors (or email failure) returns an error but the tender is already Published.</t>
  </si>
  <si>
    <t xml:space="preserve">Run PUB-011.</t>
  </si>
  <si>
    <t xml:space="preserve">Award challenges accept a client-supplied vendor id, so anyone can file in another vendor's name.</t>
  </si>
  <si>
    <t xml:space="preserve">Run AWD-009.</t>
  </si>
  <si>
    <t xml:space="preserve">'Edit Submission Timeline' sends identical stage deadlines and is likely always rejected.</t>
  </si>
  <si>
    <t xml:space="preserve">Run TND-018.</t>
  </si>
  <si>
    <t xml:space="preserve">Rejecting a confirmed blacklist reactivates the vendor while projects stay Halted; reinstatement does not block bidding; temporary blacklists never expire automatically.</t>
  </si>
  <si>
    <t xml:space="preserve">Run BLK-008, BLK-009.</t>
  </si>
  <si>
    <t xml:space="preserve">Milestones / KPIs</t>
  </si>
  <si>
    <t xml:space="preserve">Default inclusion targets 50% female-headed + 30% vulnerable + 60% low-income = 140%. Each installation has one household type, so Milestone 3 can never become claimable with defaults.</t>
  </si>
  <si>
    <t xml:space="preserve">Run MS-014 with default targets; try every household mix.</t>
  </si>
  <si>
    <t xml:space="preserve">Expired access token returns HTTP 403 (not 401) because SessionAuthentication is listed first; the frontend refreshes only on 401, so users see errors after ~30 min and are sent to login on reload.</t>
  </si>
  <si>
    <t xml:space="preserve">Stay active &gt; 30 min, perform CRUD, watch the network tab for 403 token_not_valid.</t>
  </si>
  <si>
    <t xml:space="preserve">Any non-network failure of the token-refresh call logs the user out; concurrent refreshes are not de-duplicated.</t>
  </si>
  <si>
    <t xml:space="preserve">Perform actions during a deploy or under load; note logouts.</t>
  </si>
  <si>
    <t xml:space="preserve">SES-001, SES-005</t>
  </si>
  <si>
    <t xml:space="preserve">DB persistent connections without health checks: first request after a dropped connection returns 500, retry works.</t>
  </si>
  <si>
    <t xml:space="preserve">Note any 500 that succeeds on retry; check backend logs for OperationalError.</t>
  </si>
  <si>
    <t xml:space="preserve">Redis is read on every request without error handling; a Redis hiccup returns 500 everywhere.</t>
  </si>
  <si>
    <t xml:space="preserve">Correlate 500 bursts with Redis restarts.</t>
  </si>
  <si>
    <t xml:space="preserve">Idle timeout in one tab clears tokens shared by all tabs.</t>
  </si>
  <si>
    <t xml:space="preserve">Run SES-003.</t>
  </si>
  <si>
    <t xml:space="preserve">Payments UI</t>
  </si>
  <si>
    <t xml:space="preserve">Confirm Payment screen text says the project closes automatically when the final milestone is paid; in fact RMT must click 'Verify &amp; complete project'.</t>
  </si>
  <si>
    <t xml:space="preserve">Pay M3 and observe project status.</t>
  </si>
  <si>
    <t xml:space="preserve">If no Field Verifier covers a district, installations stay Submitted with no warning.</t>
  </si>
  <si>
    <t xml:space="preserve">Run INS-018.</t>
  </si>
</sst>
</file>

<file path=xl/styles.xml><?xml version="1.0" encoding="utf-8"?>
<styleSheet xmlns="http://schemas.openxmlformats.org/spreadsheetml/2006/main">
  <numFmts count="4">
    <numFmt numFmtId="164" formatCode="General"/>
    <numFmt numFmtId="165" formatCode="General"/>
    <numFmt numFmtId="166" formatCode="0.0%"/>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6"/>
      <color rgb="FF1F6B45"/>
      <name val="Arial"/>
      <family val="0"/>
      <charset val="1"/>
    </font>
    <font>
      <i val="true"/>
      <sz val="10"/>
      <color rgb="FF666666"/>
      <name val="Arial"/>
      <family val="0"/>
      <charset val="1"/>
    </font>
    <font>
      <b val="true"/>
      <sz val="10"/>
      <color rgb="FF000000"/>
      <name val="Arial"/>
      <family val="0"/>
      <charset val="1"/>
    </font>
    <font>
      <sz val="10"/>
      <color rgb="FF000000"/>
      <name val="Arial"/>
      <family val="0"/>
      <charset val="1"/>
    </font>
    <font>
      <b val="true"/>
      <sz val="12"/>
      <color rgb="FF1F6B45"/>
      <name val="Arial"/>
      <family val="0"/>
      <charset val="1"/>
    </font>
    <font>
      <b val="true"/>
      <sz val="10"/>
      <color rgb="FFFFFFFF"/>
      <name val="Arial"/>
      <family val="0"/>
      <charset val="1"/>
    </font>
    <font>
      <i val="true"/>
      <sz val="9"/>
      <color rgb="FF666666"/>
      <name val="Arial"/>
      <family val="0"/>
      <charset val="1"/>
    </font>
  </fonts>
  <fills count="6">
    <fill>
      <patternFill patternType="none"/>
    </fill>
    <fill>
      <patternFill patternType="gray125"/>
    </fill>
    <fill>
      <patternFill patternType="solid">
        <fgColor rgb="FFFFF9DB"/>
        <bgColor rgb="FFF2F2F2"/>
      </patternFill>
    </fill>
    <fill>
      <patternFill patternType="solid">
        <fgColor rgb="FF1F6B45"/>
        <bgColor rgb="FF006100"/>
      </patternFill>
    </fill>
    <fill>
      <patternFill patternType="solid">
        <fgColor rgb="FFF2F2F2"/>
        <bgColor rgb="FFE8F3EC"/>
      </patternFill>
    </fill>
    <fill>
      <patternFill patternType="solid">
        <fgColor rgb="FFE8F3E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C6EFCE"/>
        </patternFill>
      </fill>
    </dxf>
    <dxf>
      <fill>
        <patternFill>
          <bgColor rgb="FFFFC7CE"/>
        </patternFill>
      </fill>
    </dxf>
    <dxf>
      <fill>
        <patternFill patternType="solid">
          <fgColor rgb="FF1F6B4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42318"/>
          <bgColor rgb="FF000000"/>
        </patternFill>
      </fill>
    </dxf>
    <dxf>
      <fill>
        <patternFill patternType="solid">
          <fgColor rgb="FFFFF9DB"/>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9C5700"/>
      </font>
      <fill>
        <patternFill>
          <bgColor rgb="FFFFEB9C"/>
        </patternFill>
      </fill>
    </dxf>
    <dxf>
      <font>
        <name val="Arial"/>
        <charset val="1"/>
        <family val="0"/>
        <b val="1"/>
        <color rgb="FF595959"/>
      </font>
      <fill>
        <patternFill>
          <bgColor rgb="FFE7E6E6"/>
        </patternFill>
      </fill>
    </dxf>
    <dxf>
      <font>
        <name val="Arial"/>
        <charset val="1"/>
        <family val="0"/>
        <b val="1"/>
        <color rgb="FFB42318"/>
      </font>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1F6B45"/>
      <rgbColor rgb="FFBFBFBF"/>
      <rgbColor rgb="FF808080"/>
      <rgbColor rgb="FF9999FF"/>
      <rgbColor rgb="FF993366"/>
      <rgbColor rgb="FFFFF9DB"/>
      <rgbColor rgb="FFE8F3EC"/>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2F2"/>
      <rgbColor rgb="FFC6EFCE"/>
      <rgbColor rgb="FFFFEB9C"/>
      <rgbColor rgb="FF9BBFA9"/>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B42318"/>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FA9"/>
    <pageSetUpPr fitToPage="tru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row>
    <row r="5" customFormat="false" ht="60" hidden="false" customHeight="true" outlineLevel="0" collapsed="false">
      <c r="A5" s="3" t="s">
        <v>4</v>
      </c>
      <c r="B5" s="4" t="s">
        <v>5</v>
      </c>
    </row>
    <row r="6" customFormat="false" ht="15" hidden="false" customHeight="true" outlineLevel="0" collapsed="false">
      <c r="A6" s="3" t="s">
        <v>6</v>
      </c>
      <c r="B6" s="4" t="s">
        <v>7</v>
      </c>
    </row>
    <row r="7" customFormat="false" ht="30" hidden="false" customHeight="true" outlineLevel="0" collapsed="false">
      <c r="A7" s="3" t="s">
        <v>8</v>
      </c>
      <c r="B7" s="4" t="s">
        <v>9</v>
      </c>
    </row>
    <row r="8" customFormat="false" ht="45" hidden="false" customHeight="true" outlineLevel="0" collapsed="false">
      <c r="A8" s="3" t="s">
        <v>10</v>
      </c>
      <c r="B8" s="4" t="s">
        <v>11</v>
      </c>
    </row>
    <row r="9" customFormat="false" ht="30" hidden="false" customHeight="true" outlineLevel="0" collapsed="false">
      <c r="A9" s="3" t="s">
        <v>12</v>
      </c>
      <c r="B9" s="4" t="s">
        <v>13</v>
      </c>
    </row>
    <row r="10" customFormat="false" ht="30" hidden="false" customHeight="true" outlineLevel="0" collapsed="false">
      <c r="A10" s="3" t="s">
        <v>14</v>
      </c>
      <c r="B10" s="4" t="s">
        <v>15</v>
      </c>
    </row>
    <row r="11" customFormat="false" ht="30" hidden="false" customHeight="true" outlineLevel="0" collapsed="false">
      <c r="A11" s="3" t="s">
        <v>16</v>
      </c>
      <c r="B11" s="4" t="s">
        <v>17</v>
      </c>
    </row>
    <row r="12" customFormat="false" ht="30" hidden="false" customHeight="true" outlineLevel="0" collapsed="false">
      <c r="A12" s="3" t="s">
        <v>18</v>
      </c>
      <c r="B12" s="4" t="s">
        <v>19</v>
      </c>
    </row>
    <row r="13" customFormat="false" ht="45"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A16" s="3" t="s">
        <v>23</v>
      </c>
      <c r="B16" s="6"/>
    </row>
    <row r="17" customFormat="false" ht="15" hidden="false" customHeight="false" outlineLevel="0" collapsed="false">
      <c r="A17" s="3" t="s">
        <v>24</v>
      </c>
      <c r="B17" s="6"/>
    </row>
    <row r="18" customFormat="false" ht="15" hidden="false" customHeight="false" outlineLevel="0" collapsed="false">
      <c r="A18" s="3" t="s">
        <v>25</v>
      </c>
      <c r="B18" s="6"/>
    </row>
    <row r="19" customFormat="false" ht="15" hidden="false" customHeight="false" outlineLevel="0" collapsed="false">
      <c r="A19" s="3" t="s">
        <v>26</v>
      </c>
      <c r="B19" s="6"/>
    </row>
    <row r="20" customFormat="false" ht="15" hidden="false" customHeight="false" outlineLevel="0" collapsed="false">
      <c r="A20" s="3" t="s">
        <v>27</v>
      </c>
      <c r="B20" s="6"/>
    </row>
    <row r="21" customFormat="false" ht="15" hidden="false" customHeight="false" outlineLevel="0" collapsed="false">
      <c r="A21" s="3" t="s">
        <v>28</v>
      </c>
      <c r="B21" s="6"/>
    </row>
    <row r="22" customFormat="false" ht="15" hidden="false" customHeight="false" outlineLevel="0" collapsed="false">
      <c r="A22" s="3" t="s">
        <v>29</v>
      </c>
      <c r="B22" s="6"/>
    </row>
    <row r="23" customFormat="false" ht="15" hidden="false" customHeight="false" outlineLevel="0" collapsed="false">
      <c r="A23" s="3" t="s">
        <v>30</v>
      </c>
      <c r="B23" s="6"/>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45"/>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9"/>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9" min="8" style="0" width="12"/>
  </cols>
  <sheetData>
    <row r="1" customFormat="false" ht="19.7" hidden="false" customHeight="false" outlineLevel="0" collapsed="false">
      <c r="A1" s="1" t="s">
        <v>31</v>
      </c>
    </row>
    <row r="2" customFormat="false" ht="15" hidden="false" customHeight="false" outlineLevel="0" collapsed="false">
      <c r="A2" s="2" t="s">
        <v>32</v>
      </c>
    </row>
    <row r="4" customFormat="false" ht="30" hidden="false" customHeight="true" outlineLevel="0" collapsed="false">
      <c r="A4" s="7" t="s">
        <v>33</v>
      </c>
      <c r="B4" s="7" t="s">
        <v>34</v>
      </c>
      <c r="C4" s="7" t="s">
        <v>35</v>
      </c>
      <c r="D4" s="7" t="s">
        <v>36</v>
      </c>
      <c r="E4" s="7" t="s">
        <v>37</v>
      </c>
      <c r="F4" s="7" t="s">
        <v>38</v>
      </c>
      <c r="G4" s="7" t="s">
        <v>39</v>
      </c>
      <c r="H4" s="7" t="s">
        <v>40</v>
      </c>
      <c r="I4" s="7" t="s">
        <v>41</v>
      </c>
    </row>
    <row r="5" customFormat="false" ht="15" hidden="false" customHeight="false" outlineLevel="0" collapsed="false">
      <c r="A5" s="8" t="s">
        <v>42</v>
      </c>
      <c r="B5" s="9" t="n">
        <f aca="false">COUNTIF('Test Cases'!$B$2:$B$3000,$A5)</f>
        <v>20</v>
      </c>
      <c r="C5" s="9" t="n">
        <f aca="false">COUNTIFS('Test Cases'!$B$2:$B$3000,$A5,'Test Cases'!$M$2:$M$3000,"Pass")</f>
        <v>0</v>
      </c>
      <c r="D5" s="9" t="n">
        <f aca="false">COUNTIFS('Test Cases'!$B$2:$B$3000,$A5,'Test Cases'!$M$2:$M$3000,"Fail")</f>
        <v>0</v>
      </c>
      <c r="E5" s="9" t="n">
        <f aca="false">COUNTIFS('Test Cases'!$B$2:$B$3000,$A5,'Test Cases'!$M$2:$M$3000,"Blocked")</f>
        <v>0</v>
      </c>
      <c r="F5" s="9" t="n">
        <f aca="false">COUNTIFS('Test Cases'!$B$2:$B$3000,$A5,'Test Cases'!$M$2:$M$3000,"N/A")</f>
        <v>0</v>
      </c>
      <c r="G5" s="9" t="n">
        <f aca="false">COUNTIFS('Test Cases'!$B$2:$B$3000,$A5,'Test Cases'!$M$2:$M$3000,"Not Run")</f>
        <v>20</v>
      </c>
      <c r="H5" s="10" t="n">
        <f aca="false">IFERROR((B5-G5)/B5,0)</f>
        <v>0</v>
      </c>
      <c r="I5" s="10" t="n">
        <f aca="false">IFERROR(C5/(C5+D5+E5),0)</f>
        <v>0</v>
      </c>
    </row>
    <row r="6" customFormat="false" ht="15" hidden="false" customHeight="false" outlineLevel="0" collapsed="false">
      <c r="A6" s="11" t="s">
        <v>43</v>
      </c>
      <c r="B6" s="12" t="n">
        <f aca="false">COUNTIF('Test Cases'!$B$2:$B$3000,$A6)</f>
        <v>16</v>
      </c>
      <c r="C6" s="12" t="n">
        <f aca="false">COUNTIFS('Test Cases'!$B$2:$B$3000,$A6,'Test Cases'!$M$2:$M$3000,"Pass")</f>
        <v>0</v>
      </c>
      <c r="D6" s="12" t="n">
        <f aca="false">COUNTIFS('Test Cases'!$B$2:$B$3000,$A6,'Test Cases'!$M$2:$M$3000,"Fail")</f>
        <v>0</v>
      </c>
      <c r="E6" s="12" t="n">
        <f aca="false">COUNTIFS('Test Cases'!$B$2:$B$3000,$A6,'Test Cases'!$M$2:$M$3000,"Blocked")</f>
        <v>0</v>
      </c>
      <c r="F6" s="12" t="n">
        <f aca="false">COUNTIFS('Test Cases'!$B$2:$B$3000,$A6,'Test Cases'!$M$2:$M$3000,"N/A")</f>
        <v>0</v>
      </c>
      <c r="G6" s="12" t="n">
        <f aca="false">COUNTIFS('Test Cases'!$B$2:$B$3000,$A6,'Test Cases'!$M$2:$M$3000,"Not Run")</f>
        <v>16</v>
      </c>
      <c r="H6" s="13" t="n">
        <f aca="false">IFERROR((B6-G6)/B6,0)</f>
        <v>0</v>
      </c>
      <c r="I6" s="13" t="n">
        <f aca="false">IFERROR(C6/(C6+D6+E6),0)</f>
        <v>0</v>
      </c>
    </row>
    <row r="7" customFormat="false" ht="15" hidden="false" customHeight="false" outlineLevel="0" collapsed="false">
      <c r="A7" s="8" t="s">
        <v>44</v>
      </c>
      <c r="B7" s="9" t="n">
        <f aca="false">COUNTIF('Test Cases'!$B$2:$B$3000,$A7)</f>
        <v>30</v>
      </c>
      <c r="C7" s="9" t="n">
        <f aca="false">COUNTIFS('Test Cases'!$B$2:$B$3000,$A7,'Test Cases'!$M$2:$M$3000,"Pass")</f>
        <v>0</v>
      </c>
      <c r="D7" s="9" t="n">
        <f aca="false">COUNTIFS('Test Cases'!$B$2:$B$3000,$A7,'Test Cases'!$M$2:$M$3000,"Fail")</f>
        <v>0</v>
      </c>
      <c r="E7" s="9" t="n">
        <f aca="false">COUNTIFS('Test Cases'!$B$2:$B$3000,$A7,'Test Cases'!$M$2:$M$3000,"Blocked")</f>
        <v>0</v>
      </c>
      <c r="F7" s="9" t="n">
        <f aca="false">COUNTIFS('Test Cases'!$B$2:$B$3000,$A7,'Test Cases'!$M$2:$M$3000,"N/A")</f>
        <v>0</v>
      </c>
      <c r="G7" s="9" t="n">
        <f aca="false">COUNTIFS('Test Cases'!$B$2:$B$3000,$A7,'Test Cases'!$M$2:$M$3000,"Not Run")</f>
        <v>30</v>
      </c>
      <c r="H7" s="10" t="n">
        <f aca="false">IFERROR((B7-G7)/B7,0)</f>
        <v>0</v>
      </c>
      <c r="I7" s="10" t="n">
        <f aca="false">IFERROR(C7/(C7+D7+E7),0)</f>
        <v>0</v>
      </c>
    </row>
    <row r="8" customFormat="false" ht="15" hidden="false" customHeight="false" outlineLevel="0" collapsed="false">
      <c r="A8" s="11" t="s">
        <v>45</v>
      </c>
      <c r="B8" s="12" t="n">
        <f aca="false">COUNTIF('Test Cases'!$B$2:$B$3000,$A8)</f>
        <v>12</v>
      </c>
      <c r="C8" s="12" t="n">
        <f aca="false">COUNTIFS('Test Cases'!$B$2:$B$3000,$A8,'Test Cases'!$M$2:$M$3000,"Pass")</f>
        <v>0</v>
      </c>
      <c r="D8" s="12" t="n">
        <f aca="false">COUNTIFS('Test Cases'!$B$2:$B$3000,$A8,'Test Cases'!$M$2:$M$3000,"Fail")</f>
        <v>0</v>
      </c>
      <c r="E8" s="12" t="n">
        <f aca="false">COUNTIFS('Test Cases'!$B$2:$B$3000,$A8,'Test Cases'!$M$2:$M$3000,"Blocked")</f>
        <v>0</v>
      </c>
      <c r="F8" s="12" t="n">
        <f aca="false">COUNTIFS('Test Cases'!$B$2:$B$3000,$A8,'Test Cases'!$M$2:$M$3000,"N/A")</f>
        <v>0</v>
      </c>
      <c r="G8" s="12" t="n">
        <f aca="false">COUNTIFS('Test Cases'!$B$2:$B$3000,$A8,'Test Cases'!$M$2:$M$3000,"Not Run")</f>
        <v>12</v>
      </c>
      <c r="H8" s="13" t="n">
        <f aca="false">IFERROR((B8-G8)/B8,0)</f>
        <v>0</v>
      </c>
      <c r="I8" s="13" t="n">
        <f aca="false">IFERROR(C8/(C8+D8+E8),0)</f>
        <v>0</v>
      </c>
    </row>
    <row r="9" customFormat="false" ht="15" hidden="false" customHeight="false" outlineLevel="0" collapsed="false">
      <c r="A9" s="8" t="s">
        <v>46</v>
      </c>
      <c r="B9" s="9" t="n">
        <f aca="false">COUNTIF('Test Cases'!$B$2:$B$3000,$A9)</f>
        <v>6</v>
      </c>
      <c r="C9" s="9" t="n">
        <f aca="false">COUNTIFS('Test Cases'!$B$2:$B$3000,$A9,'Test Cases'!$M$2:$M$3000,"Pass")</f>
        <v>0</v>
      </c>
      <c r="D9" s="9" t="n">
        <f aca="false">COUNTIFS('Test Cases'!$B$2:$B$3000,$A9,'Test Cases'!$M$2:$M$3000,"Fail")</f>
        <v>0</v>
      </c>
      <c r="E9" s="9" t="n">
        <f aca="false">COUNTIFS('Test Cases'!$B$2:$B$3000,$A9,'Test Cases'!$M$2:$M$3000,"Blocked")</f>
        <v>0</v>
      </c>
      <c r="F9" s="9" t="n">
        <f aca="false">COUNTIFS('Test Cases'!$B$2:$B$3000,$A9,'Test Cases'!$M$2:$M$3000,"N/A")</f>
        <v>0</v>
      </c>
      <c r="G9" s="9" t="n">
        <f aca="false">COUNTIFS('Test Cases'!$B$2:$B$3000,$A9,'Test Cases'!$M$2:$M$3000,"Not Run")</f>
        <v>6</v>
      </c>
      <c r="H9" s="10" t="n">
        <f aca="false">IFERROR((B9-G9)/B9,0)</f>
        <v>0</v>
      </c>
      <c r="I9" s="10" t="n">
        <f aca="false">IFERROR(C9/(C9+D9+E9),0)</f>
        <v>0</v>
      </c>
    </row>
    <row r="10" customFormat="false" ht="15" hidden="false" customHeight="false" outlineLevel="0" collapsed="false">
      <c r="A10" s="11" t="s">
        <v>47</v>
      </c>
      <c r="B10" s="12" t="n">
        <f aca="false">COUNTIF('Test Cases'!$B$2:$B$3000,$A10)</f>
        <v>11</v>
      </c>
      <c r="C10" s="12" t="n">
        <f aca="false">COUNTIFS('Test Cases'!$B$2:$B$3000,$A10,'Test Cases'!$M$2:$M$3000,"Pass")</f>
        <v>0</v>
      </c>
      <c r="D10" s="12" t="n">
        <f aca="false">COUNTIFS('Test Cases'!$B$2:$B$3000,$A10,'Test Cases'!$M$2:$M$3000,"Fail")</f>
        <v>0</v>
      </c>
      <c r="E10" s="12" t="n">
        <f aca="false">COUNTIFS('Test Cases'!$B$2:$B$3000,$A10,'Test Cases'!$M$2:$M$3000,"Blocked")</f>
        <v>0</v>
      </c>
      <c r="F10" s="12" t="n">
        <f aca="false">COUNTIFS('Test Cases'!$B$2:$B$3000,$A10,'Test Cases'!$M$2:$M$3000,"N/A")</f>
        <v>0</v>
      </c>
      <c r="G10" s="12" t="n">
        <f aca="false">COUNTIFS('Test Cases'!$B$2:$B$3000,$A10,'Test Cases'!$M$2:$M$3000,"Not Run")</f>
        <v>11</v>
      </c>
      <c r="H10" s="13" t="n">
        <f aca="false">IFERROR((B10-G10)/B10,0)</f>
        <v>0</v>
      </c>
      <c r="I10" s="13" t="n">
        <f aca="false">IFERROR(C10/(C10+D10+E10),0)</f>
        <v>0</v>
      </c>
    </row>
    <row r="11" customFormat="false" ht="15" hidden="false" customHeight="false" outlineLevel="0" collapsed="false">
      <c r="A11" s="8" t="s">
        <v>48</v>
      </c>
      <c r="B11" s="9" t="n">
        <f aca="false">COUNTIF('Test Cases'!$B$2:$B$3000,$A11)</f>
        <v>21</v>
      </c>
      <c r="C11" s="9" t="n">
        <f aca="false">COUNTIFS('Test Cases'!$B$2:$B$3000,$A11,'Test Cases'!$M$2:$M$3000,"Pass")</f>
        <v>0</v>
      </c>
      <c r="D11" s="9" t="n">
        <f aca="false">COUNTIFS('Test Cases'!$B$2:$B$3000,$A11,'Test Cases'!$M$2:$M$3000,"Fail")</f>
        <v>0</v>
      </c>
      <c r="E11" s="9" t="n">
        <f aca="false">COUNTIFS('Test Cases'!$B$2:$B$3000,$A11,'Test Cases'!$M$2:$M$3000,"Blocked")</f>
        <v>0</v>
      </c>
      <c r="F11" s="9" t="n">
        <f aca="false">COUNTIFS('Test Cases'!$B$2:$B$3000,$A11,'Test Cases'!$M$2:$M$3000,"N/A")</f>
        <v>0</v>
      </c>
      <c r="G11" s="9" t="n">
        <f aca="false">COUNTIFS('Test Cases'!$B$2:$B$3000,$A11,'Test Cases'!$M$2:$M$3000,"Not Run")</f>
        <v>21</v>
      </c>
      <c r="H11" s="10" t="n">
        <f aca="false">IFERROR((B11-G11)/B11,0)</f>
        <v>0</v>
      </c>
      <c r="I11" s="10" t="n">
        <f aca="false">IFERROR(C11/(C11+D11+E11),0)</f>
        <v>0</v>
      </c>
    </row>
    <row r="12" customFormat="false" ht="15" hidden="false" customHeight="false" outlineLevel="0" collapsed="false">
      <c r="A12" s="11" t="s">
        <v>49</v>
      </c>
      <c r="B12" s="12" t="n">
        <f aca="false">COUNTIF('Test Cases'!$B$2:$B$3000,$A12)</f>
        <v>21</v>
      </c>
      <c r="C12" s="12" t="n">
        <f aca="false">COUNTIFS('Test Cases'!$B$2:$B$3000,$A12,'Test Cases'!$M$2:$M$3000,"Pass")</f>
        <v>0</v>
      </c>
      <c r="D12" s="12" t="n">
        <f aca="false">COUNTIFS('Test Cases'!$B$2:$B$3000,$A12,'Test Cases'!$M$2:$M$3000,"Fail")</f>
        <v>0</v>
      </c>
      <c r="E12" s="12" t="n">
        <f aca="false">COUNTIFS('Test Cases'!$B$2:$B$3000,$A12,'Test Cases'!$M$2:$M$3000,"Blocked")</f>
        <v>0</v>
      </c>
      <c r="F12" s="12" t="n">
        <f aca="false">COUNTIFS('Test Cases'!$B$2:$B$3000,$A12,'Test Cases'!$M$2:$M$3000,"N/A")</f>
        <v>0</v>
      </c>
      <c r="G12" s="12" t="n">
        <f aca="false">COUNTIFS('Test Cases'!$B$2:$B$3000,$A12,'Test Cases'!$M$2:$M$3000,"Not Run")</f>
        <v>21</v>
      </c>
      <c r="H12" s="13" t="n">
        <f aca="false">IFERROR((B12-G12)/B12,0)</f>
        <v>0</v>
      </c>
      <c r="I12" s="13" t="n">
        <f aca="false">IFERROR(C12/(C12+D12+E12),0)</f>
        <v>0</v>
      </c>
    </row>
    <row r="13" customFormat="false" ht="15" hidden="false" customHeight="false" outlineLevel="0" collapsed="false">
      <c r="A13" s="8" t="s">
        <v>50</v>
      </c>
      <c r="B13" s="9" t="n">
        <f aca="false">COUNTIF('Test Cases'!$B$2:$B$3000,$A13)</f>
        <v>18</v>
      </c>
      <c r="C13" s="9" t="n">
        <f aca="false">COUNTIFS('Test Cases'!$B$2:$B$3000,$A13,'Test Cases'!$M$2:$M$3000,"Pass")</f>
        <v>0</v>
      </c>
      <c r="D13" s="9" t="n">
        <f aca="false">COUNTIFS('Test Cases'!$B$2:$B$3000,$A13,'Test Cases'!$M$2:$M$3000,"Fail")</f>
        <v>0</v>
      </c>
      <c r="E13" s="9" t="n">
        <f aca="false">COUNTIFS('Test Cases'!$B$2:$B$3000,$A13,'Test Cases'!$M$2:$M$3000,"Blocked")</f>
        <v>0</v>
      </c>
      <c r="F13" s="9" t="n">
        <f aca="false">COUNTIFS('Test Cases'!$B$2:$B$3000,$A13,'Test Cases'!$M$2:$M$3000,"N/A")</f>
        <v>0</v>
      </c>
      <c r="G13" s="9" t="n">
        <f aca="false">COUNTIFS('Test Cases'!$B$2:$B$3000,$A13,'Test Cases'!$M$2:$M$3000,"Not Run")</f>
        <v>18</v>
      </c>
      <c r="H13" s="10" t="n">
        <f aca="false">IFERROR((B13-G13)/B13,0)</f>
        <v>0</v>
      </c>
      <c r="I13" s="10" t="n">
        <f aca="false">IFERROR(C13/(C13+D13+E13),0)</f>
        <v>0</v>
      </c>
    </row>
    <row r="14" customFormat="false" ht="15" hidden="false" customHeight="false" outlineLevel="0" collapsed="false">
      <c r="A14" s="11" t="s">
        <v>51</v>
      </c>
      <c r="B14" s="12" t="n">
        <f aca="false">COUNTIF('Test Cases'!$B$2:$B$3000,$A14)</f>
        <v>11</v>
      </c>
      <c r="C14" s="12" t="n">
        <f aca="false">COUNTIFS('Test Cases'!$B$2:$B$3000,$A14,'Test Cases'!$M$2:$M$3000,"Pass")</f>
        <v>0</v>
      </c>
      <c r="D14" s="12" t="n">
        <f aca="false">COUNTIFS('Test Cases'!$B$2:$B$3000,$A14,'Test Cases'!$M$2:$M$3000,"Fail")</f>
        <v>0</v>
      </c>
      <c r="E14" s="12" t="n">
        <f aca="false">COUNTIFS('Test Cases'!$B$2:$B$3000,$A14,'Test Cases'!$M$2:$M$3000,"Blocked")</f>
        <v>0</v>
      </c>
      <c r="F14" s="12" t="n">
        <f aca="false">COUNTIFS('Test Cases'!$B$2:$B$3000,$A14,'Test Cases'!$M$2:$M$3000,"N/A")</f>
        <v>0</v>
      </c>
      <c r="G14" s="12" t="n">
        <f aca="false">COUNTIFS('Test Cases'!$B$2:$B$3000,$A14,'Test Cases'!$M$2:$M$3000,"Not Run")</f>
        <v>11</v>
      </c>
      <c r="H14" s="13" t="n">
        <f aca="false">IFERROR((B14-G14)/B14,0)</f>
        <v>0</v>
      </c>
      <c r="I14" s="13" t="n">
        <f aca="false">IFERROR(C14/(C14+D14+E14),0)</f>
        <v>0</v>
      </c>
    </row>
    <row r="15" customFormat="false" ht="15" hidden="false" customHeight="false" outlineLevel="0" collapsed="false">
      <c r="A15" s="8" t="s">
        <v>52</v>
      </c>
      <c r="B15" s="9" t="n">
        <f aca="false">COUNTIF('Test Cases'!$B$2:$B$3000,$A15)</f>
        <v>11</v>
      </c>
      <c r="C15" s="9" t="n">
        <f aca="false">COUNTIFS('Test Cases'!$B$2:$B$3000,$A15,'Test Cases'!$M$2:$M$3000,"Pass")</f>
        <v>0</v>
      </c>
      <c r="D15" s="9" t="n">
        <f aca="false">COUNTIFS('Test Cases'!$B$2:$B$3000,$A15,'Test Cases'!$M$2:$M$3000,"Fail")</f>
        <v>0</v>
      </c>
      <c r="E15" s="9" t="n">
        <f aca="false">COUNTIFS('Test Cases'!$B$2:$B$3000,$A15,'Test Cases'!$M$2:$M$3000,"Blocked")</f>
        <v>0</v>
      </c>
      <c r="F15" s="9" t="n">
        <f aca="false">COUNTIFS('Test Cases'!$B$2:$B$3000,$A15,'Test Cases'!$M$2:$M$3000,"N/A")</f>
        <v>0</v>
      </c>
      <c r="G15" s="9" t="n">
        <f aca="false">COUNTIFS('Test Cases'!$B$2:$B$3000,$A15,'Test Cases'!$M$2:$M$3000,"Not Run")</f>
        <v>11</v>
      </c>
      <c r="H15" s="10" t="n">
        <f aca="false">IFERROR((B15-G15)/B15,0)</f>
        <v>0</v>
      </c>
      <c r="I15" s="10" t="n">
        <f aca="false">IFERROR(C15/(C15+D15+E15),0)</f>
        <v>0</v>
      </c>
    </row>
    <row r="16" customFormat="false" ht="15" hidden="false" customHeight="false" outlineLevel="0" collapsed="false">
      <c r="A16" s="11" t="s">
        <v>53</v>
      </c>
      <c r="B16" s="12" t="n">
        <f aca="false">COUNTIF('Test Cases'!$B$2:$B$3000,$A16)</f>
        <v>14</v>
      </c>
      <c r="C16" s="12" t="n">
        <f aca="false">COUNTIFS('Test Cases'!$B$2:$B$3000,$A16,'Test Cases'!$M$2:$M$3000,"Pass")</f>
        <v>0</v>
      </c>
      <c r="D16" s="12" t="n">
        <f aca="false">COUNTIFS('Test Cases'!$B$2:$B$3000,$A16,'Test Cases'!$M$2:$M$3000,"Fail")</f>
        <v>0</v>
      </c>
      <c r="E16" s="12" t="n">
        <f aca="false">COUNTIFS('Test Cases'!$B$2:$B$3000,$A16,'Test Cases'!$M$2:$M$3000,"Blocked")</f>
        <v>0</v>
      </c>
      <c r="F16" s="12" t="n">
        <f aca="false">COUNTIFS('Test Cases'!$B$2:$B$3000,$A16,'Test Cases'!$M$2:$M$3000,"N/A")</f>
        <v>0</v>
      </c>
      <c r="G16" s="12" t="n">
        <f aca="false">COUNTIFS('Test Cases'!$B$2:$B$3000,$A16,'Test Cases'!$M$2:$M$3000,"Not Run")</f>
        <v>14</v>
      </c>
      <c r="H16" s="13" t="n">
        <f aca="false">IFERROR((B16-G16)/B16,0)</f>
        <v>0</v>
      </c>
      <c r="I16" s="13" t="n">
        <f aca="false">IFERROR(C16/(C16+D16+E16),0)</f>
        <v>0</v>
      </c>
    </row>
    <row r="17" customFormat="false" ht="15" hidden="false" customHeight="false" outlineLevel="0" collapsed="false">
      <c r="A17" s="8" t="s">
        <v>54</v>
      </c>
      <c r="B17" s="9" t="n">
        <f aca="false">COUNTIF('Test Cases'!$B$2:$B$3000,$A17)</f>
        <v>19</v>
      </c>
      <c r="C17" s="9" t="n">
        <f aca="false">COUNTIFS('Test Cases'!$B$2:$B$3000,$A17,'Test Cases'!$M$2:$M$3000,"Pass")</f>
        <v>0</v>
      </c>
      <c r="D17" s="9" t="n">
        <f aca="false">COUNTIFS('Test Cases'!$B$2:$B$3000,$A17,'Test Cases'!$M$2:$M$3000,"Fail")</f>
        <v>0</v>
      </c>
      <c r="E17" s="9" t="n">
        <f aca="false">COUNTIFS('Test Cases'!$B$2:$B$3000,$A17,'Test Cases'!$M$2:$M$3000,"Blocked")</f>
        <v>0</v>
      </c>
      <c r="F17" s="9" t="n">
        <f aca="false">COUNTIFS('Test Cases'!$B$2:$B$3000,$A17,'Test Cases'!$M$2:$M$3000,"N/A")</f>
        <v>0</v>
      </c>
      <c r="G17" s="9" t="n">
        <f aca="false">COUNTIFS('Test Cases'!$B$2:$B$3000,$A17,'Test Cases'!$M$2:$M$3000,"Not Run")</f>
        <v>19</v>
      </c>
      <c r="H17" s="10" t="n">
        <f aca="false">IFERROR((B17-G17)/B17,0)</f>
        <v>0</v>
      </c>
      <c r="I17" s="10" t="n">
        <f aca="false">IFERROR(C17/(C17+D17+E17),0)</f>
        <v>0</v>
      </c>
    </row>
    <row r="18" customFormat="false" ht="15" hidden="false" customHeight="false" outlineLevel="0" collapsed="false">
      <c r="A18" s="11" t="s">
        <v>55</v>
      </c>
      <c r="B18" s="12" t="n">
        <f aca="false">COUNTIF('Test Cases'!$B$2:$B$3000,$A18)</f>
        <v>18</v>
      </c>
      <c r="C18" s="12" t="n">
        <f aca="false">COUNTIFS('Test Cases'!$B$2:$B$3000,$A18,'Test Cases'!$M$2:$M$3000,"Pass")</f>
        <v>0</v>
      </c>
      <c r="D18" s="12" t="n">
        <f aca="false">COUNTIFS('Test Cases'!$B$2:$B$3000,$A18,'Test Cases'!$M$2:$M$3000,"Fail")</f>
        <v>0</v>
      </c>
      <c r="E18" s="12" t="n">
        <f aca="false">COUNTIFS('Test Cases'!$B$2:$B$3000,$A18,'Test Cases'!$M$2:$M$3000,"Blocked")</f>
        <v>0</v>
      </c>
      <c r="F18" s="12" t="n">
        <f aca="false">COUNTIFS('Test Cases'!$B$2:$B$3000,$A18,'Test Cases'!$M$2:$M$3000,"N/A")</f>
        <v>0</v>
      </c>
      <c r="G18" s="12" t="n">
        <f aca="false">COUNTIFS('Test Cases'!$B$2:$B$3000,$A18,'Test Cases'!$M$2:$M$3000,"Not Run")</f>
        <v>18</v>
      </c>
      <c r="H18" s="13" t="n">
        <f aca="false">IFERROR((B18-G18)/B18,0)</f>
        <v>0</v>
      </c>
      <c r="I18" s="13" t="n">
        <f aca="false">IFERROR(C18/(C18+D18+E18),0)</f>
        <v>0</v>
      </c>
    </row>
    <row r="19" customFormat="false" ht="15" hidden="false" customHeight="false" outlineLevel="0" collapsed="false">
      <c r="A19" s="8" t="s">
        <v>56</v>
      </c>
      <c r="B19" s="9" t="n">
        <f aca="false">COUNTIF('Test Cases'!$B$2:$B$3000,$A19)</f>
        <v>15</v>
      </c>
      <c r="C19" s="9" t="n">
        <f aca="false">COUNTIFS('Test Cases'!$B$2:$B$3000,$A19,'Test Cases'!$M$2:$M$3000,"Pass")</f>
        <v>0</v>
      </c>
      <c r="D19" s="9" t="n">
        <f aca="false">COUNTIFS('Test Cases'!$B$2:$B$3000,$A19,'Test Cases'!$M$2:$M$3000,"Fail")</f>
        <v>0</v>
      </c>
      <c r="E19" s="9" t="n">
        <f aca="false">COUNTIFS('Test Cases'!$B$2:$B$3000,$A19,'Test Cases'!$M$2:$M$3000,"Blocked")</f>
        <v>0</v>
      </c>
      <c r="F19" s="9" t="n">
        <f aca="false">COUNTIFS('Test Cases'!$B$2:$B$3000,$A19,'Test Cases'!$M$2:$M$3000,"N/A")</f>
        <v>0</v>
      </c>
      <c r="G19" s="9" t="n">
        <f aca="false">COUNTIFS('Test Cases'!$B$2:$B$3000,$A19,'Test Cases'!$M$2:$M$3000,"Not Run")</f>
        <v>15</v>
      </c>
      <c r="H19" s="10" t="n">
        <f aca="false">IFERROR((B19-G19)/B19,0)</f>
        <v>0</v>
      </c>
      <c r="I19" s="10" t="n">
        <f aca="false">IFERROR(C19/(C19+D19+E19),0)</f>
        <v>0</v>
      </c>
    </row>
    <row r="20" customFormat="false" ht="15" hidden="false" customHeight="false" outlineLevel="0" collapsed="false">
      <c r="A20" s="11" t="s">
        <v>57</v>
      </c>
      <c r="B20" s="12" t="n">
        <f aca="false">COUNTIF('Test Cases'!$B$2:$B$3000,$A20)</f>
        <v>8</v>
      </c>
      <c r="C20" s="12" t="n">
        <f aca="false">COUNTIFS('Test Cases'!$B$2:$B$3000,$A20,'Test Cases'!$M$2:$M$3000,"Pass")</f>
        <v>0</v>
      </c>
      <c r="D20" s="12" t="n">
        <f aca="false">COUNTIFS('Test Cases'!$B$2:$B$3000,$A20,'Test Cases'!$M$2:$M$3000,"Fail")</f>
        <v>0</v>
      </c>
      <c r="E20" s="12" t="n">
        <f aca="false">COUNTIFS('Test Cases'!$B$2:$B$3000,$A20,'Test Cases'!$M$2:$M$3000,"Blocked")</f>
        <v>0</v>
      </c>
      <c r="F20" s="12" t="n">
        <f aca="false">COUNTIFS('Test Cases'!$B$2:$B$3000,$A20,'Test Cases'!$M$2:$M$3000,"N/A")</f>
        <v>0</v>
      </c>
      <c r="G20" s="12" t="n">
        <f aca="false">COUNTIFS('Test Cases'!$B$2:$B$3000,$A20,'Test Cases'!$M$2:$M$3000,"Not Run")</f>
        <v>8</v>
      </c>
      <c r="H20" s="13" t="n">
        <f aca="false">IFERROR((B20-G20)/B20,0)</f>
        <v>0</v>
      </c>
      <c r="I20" s="13" t="n">
        <f aca="false">IFERROR(C20/(C20+D20+E20),0)</f>
        <v>0</v>
      </c>
    </row>
    <row r="21" customFormat="false" ht="15" hidden="false" customHeight="false" outlineLevel="0" collapsed="false">
      <c r="A21" s="8" t="s">
        <v>58</v>
      </c>
      <c r="B21" s="9" t="n">
        <f aca="false">COUNTIF('Test Cases'!$B$2:$B$3000,$A21)</f>
        <v>8</v>
      </c>
      <c r="C21" s="9" t="n">
        <f aca="false">COUNTIFS('Test Cases'!$B$2:$B$3000,$A21,'Test Cases'!$M$2:$M$3000,"Pass")</f>
        <v>0</v>
      </c>
      <c r="D21" s="9" t="n">
        <f aca="false">COUNTIFS('Test Cases'!$B$2:$B$3000,$A21,'Test Cases'!$M$2:$M$3000,"Fail")</f>
        <v>0</v>
      </c>
      <c r="E21" s="9" t="n">
        <f aca="false">COUNTIFS('Test Cases'!$B$2:$B$3000,$A21,'Test Cases'!$M$2:$M$3000,"Blocked")</f>
        <v>0</v>
      </c>
      <c r="F21" s="9" t="n">
        <f aca="false">COUNTIFS('Test Cases'!$B$2:$B$3000,$A21,'Test Cases'!$M$2:$M$3000,"N/A")</f>
        <v>0</v>
      </c>
      <c r="G21" s="9" t="n">
        <f aca="false">COUNTIFS('Test Cases'!$B$2:$B$3000,$A21,'Test Cases'!$M$2:$M$3000,"Not Run")</f>
        <v>8</v>
      </c>
      <c r="H21" s="10" t="n">
        <f aca="false">IFERROR((B21-G21)/B21,0)</f>
        <v>0</v>
      </c>
      <c r="I21" s="10" t="n">
        <f aca="false">IFERROR(C21/(C21+D21+E21),0)</f>
        <v>0</v>
      </c>
    </row>
    <row r="22" customFormat="false" ht="15" hidden="false" customHeight="false" outlineLevel="0" collapsed="false">
      <c r="A22" s="11" t="s">
        <v>59</v>
      </c>
      <c r="B22" s="12" t="n">
        <f aca="false">COUNTIF('Test Cases'!$B$2:$B$3000,$A22)</f>
        <v>8</v>
      </c>
      <c r="C22" s="12" t="n">
        <f aca="false">COUNTIFS('Test Cases'!$B$2:$B$3000,$A22,'Test Cases'!$M$2:$M$3000,"Pass")</f>
        <v>0</v>
      </c>
      <c r="D22" s="12" t="n">
        <f aca="false">COUNTIFS('Test Cases'!$B$2:$B$3000,$A22,'Test Cases'!$M$2:$M$3000,"Fail")</f>
        <v>0</v>
      </c>
      <c r="E22" s="12" t="n">
        <f aca="false">COUNTIFS('Test Cases'!$B$2:$B$3000,$A22,'Test Cases'!$M$2:$M$3000,"Blocked")</f>
        <v>0</v>
      </c>
      <c r="F22" s="12" t="n">
        <f aca="false">COUNTIFS('Test Cases'!$B$2:$B$3000,$A22,'Test Cases'!$M$2:$M$3000,"N/A")</f>
        <v>0</v>
      </c>
      <c r="G22" s="12" t="n">
        <f aca="false">COUNTIFS('Test Cases'!$B$2:$B$3000,$A22,'Test Cases'!$M$2:$M$3000,"Not Run")</f>
        <v>8</v>
      </c>
      <c r="H22" s="13" t="n">
        <f aca="false">IFERROR((B22-G22)/B22,0)</f>
        <v>0</v>
      </c>
      <c r="I22" s="13" t="n">
        <f aca="false">IFERROR(C22/(C22+D22+E22),0)</f>
        <v>0</v>
      </c>
    </row>
    <row r="23" customFormat="false" ht="15" hidden="false" customHeight="false" outlineLevel="0" collapsed="false">
      <c r="A23" s="8" t="s">
        <v>60</v>
      </c>
      <c r="B23" s="9" t="n">
        <f aca="false">COUNTIF('Test Cases'!$B$2:$B$3000,$A23)</f>
        <v>10</v>
      </c>
      <c r="C23" s="9" t="n">
        <f aca="false">COUNTIFS('Test Cases'!$B$2:$B$3000,$A23,'Test Cases'!$M$2:$M$3000,"Pass")</f>
        <v>0</v>
      </c>
      <c r="D23" s="9" t="n">
        <f aca="false">COUNTIFS('Test Cases'!$B$2:$B$3000,$A23,'Test Cases'!$M$2:$M$3000,"Fail")</f>
        <v>0</v>
      </c>
      <c r="E23" s="9" t="n">
        <f aca="false">COUNTIFS('Test Cases'!$B$2:$B$3000,$A23,'Test Cases'!$M$2:$M$3000,"Blocked")</f>
        <v>0</v>
      </c>
      <c r="F23" s="9" t="n">
        <f aca="false">COUNTIFS('Test Cases'!$B$2:$B$3000,$A23,'Test Cases'!$M$2:$M$3000,"N/A")</f>
        <v>0</v>
      </c>
      <c r="G23" s="9" t="n">
        <f aca="false">COUNTIFS('Test Cases'!$B$2:$B$3000,$A23,'Test Cases'!$M$2:$M$3000,"Not Run")</f>
        <v>10</v>
      </c>
      <c r="H23" s="10" t="n">
        <f aca="false">IFERROR((B23-G23)/B23,0)</f>
        <v>0</v>
      </c>
      <c r="I23" s="10" t="n">
        <f aca="false">IFERROR(C23/(C23+D23+E23),0)</f>
        <v>0</v>
      </c>
    </row>
    <row r="24" customFormat="false" ht="15" hidden="false" customHeight="false" outlineLevel="0" collapsed="false">
      <c r="A24" s="11" t="s">
        <v>61</v>
      </c>
      <c r="B24" s="12" t="n">
        <f aca="false">COUNTIF('Test Cases'!$B$2:$B$3000,$A24)</f>
        <v>5</v>
      </c>
      <c r="C24" s="12" t="n">
        <f aca="false">COUNTIFS('Test Cases'!$B$2:$B$3000,$A24,'Test Cases'!$M$2:$M$3000,"Pass")</f>
        <v>0</v>
      </c>
      <c r="D24" s="12" t="n">
        <f aca="false">COUNTIFS('Test Cases'!$B$2:$B$3000,$A24,'Test Cases'!$M$2:$M$3000,"Fail")</f>
        <v>0</v>
      </c>
      <c r="E24" s="12" t="n">
        <f aca="false">COUNTIFS('Test Cases'!$B$2:$B$3000,$A24,'Test Cases'!$M$2:$M$3000,"Blocked")</f>
        <v>0</v>
      </c>
      <c r="F24" s="12" t="n">
        <f aca="false">COUNTIFS('Test Cases'!$B$2:$B$3000,$A24,'Test Cases'!$M$2:$M$3000,"N/A")</f>
        <v>0</v>
      </c>
      <c r="G24" s="12" t="n">
        <f aca="false">COUNTIFS('Test Cases'!$B$2:$B$3000,$A24,'Test Cases'!$M$2:$M$3000,"Not Run")</f>
        <v>5</v>
      </c>
      <c r="H24" s="13" t="n">
        <f aca="false">IFERROR((B24-G24)/B24,0)</f>
        <v>0</v>
      </c>
      <c r="I24" s="13" t="n">
        <f aca="false">IFERROR(C24/(C24+D24+E24),0)</f>
        <v>0</v>
      </c>
    </row>
    <row r="25" customFormat="false" ht="15" hidden="false" customHeight="false" outlineLevel="0" collapsed="false">
      <c r="A25" s="8" t="s">
        <v>62</v>
      </c>
      <c r="B25" s="9" t="n">
        <f aca="false">COUNTIF('Test Cases'!$B$2:$B$3000,$A25)</f>
        <v>15</v>
      </c>
      <c r="C25" s="9" t="n">
        <f aca="false">COUNTIFS('Test Cases'!$B$2:$B$3000,$A25,'Test Cases'!$M$2:$M$3000,"Pass")</f>
        <v>0</v>
      </c>
      <c r="D25" s="9" t="n">
        <f aca="false">COUNTIFS('Test Cases'!$B$2:$B$3000,$A25,'Test Cases'!$M$2:$M$3000,"Fail")</f>
        <v>0</v>
      </c>
      <c r="E25" s="9" t="n">
        <f aca="false">COUNTIFS('Test Cases'!$B$2:$B$3000,$A25,'Test Cases'!$M$2:$M$3000,"Blocked")</f>
        <v>0</v>
      </c>
      <c r="F25" s="9" t="n">
        <f aca="false">COUNTIFS('Test Cases'!$B$2:$B$3000,$A25,'Test Cases'!$M$2:$M$3000,"N/A")</f>
        <v>0</v>
      </c>
      <c r="G25" s="9" t="n">
        <f aca="false">COUNTIFS('Test Cases'!$B$2:$B$3000,$A25,'Test Cases'!$M$2:$M$3000,"Not Run")</f>
        <v>15</v>
      </c>
      <c r="H25" s="10" t="n">
        <f aca="false">IFERROR((B25-G25)/B25,0)</f>
        <v>0</v>
      </c>
      <c r="I25" s="10" t="n">
        <f aca="false">IFERROR(C25/(C25+D25+E25),0)</f>
        <v>0</v>
      </c>
    </row>
    <row r="26" customFormat="false" ht="15" hidden="false" customHeight="false" outlineLevel="0" collapsed="false">
      <c r="A26" s="11" t="s">
        <v>63</v>
      </c>
      <c r="B26" s="12" t="n">
        <f aca="false">COUNTIF('Test Cases'!$B$2:$B$3000,$A26)</f>
        <v>8</v>
      </c>
      <c r="C26" s="12" t="n">
        <f aca="false">COUNTIFS('Test Cases'!$B$2:$B$3000,$A26,'Test Cases'!$M$2:$M$3000,"Pass")</f>
        <v>0</v>
      </c>
      <c r="D26" s="12" t="n">
        <f aca="false">COUNTIFS('Test Cases'!$B$2:$B$3000,$A26,'Test Cases'!$M$2:$M$3000,"Fail")</f>
        <v>0</v>
      </c>
      <c r="E26" s="12" t="n">
        <f aca="false">COUNTIFS('Test Cases'!$B$2:$B$3000,$A26,'Test Cases'!$M$2:$M$3000,"Blocked")</f>
        <v>0</v>
      </c>
      <c r="F26" s="12" t="n">
        <f aca="false">COUNTIFS('Test Cases'!$B$2:$B$3000,$A26,'Test Cases'!$M$2:$M$3000,"N/A")</f>
        <v>0</v>
      </c>
      <c r="G26" s="12" t="n">
        <f aca="false">COUNTIFS('Test Cases'!$B$2:$B$3000,$A26,'Test Cases'!$M$2:$M$3000,"Not Run")</f>
        <v>8</v>
      </c>
      <c r="H26" s="13" t="n">
        <f aca="false">IFERROR((B26-G26)/B26,0)</f>
        <v>0</v>
      </c>
      <c r="I26" s="13" t="n">
        <f aca="false">IFERROR(C26/(C26+D26+E26),0)</f>
        <v>0</v>
      </c>
    </row>
    <row r="27" customFormat="false" ht="15" hidden="false" customHeight="false" outlineLevel="0" collapsed="false">
      <c r="A27" s="8" t="s">
        <v>64</v>
      </c>
      <c r="B27" s="9" t="n">
        <f aca="false">COUNTIF('Test Cases'!$B$2:$B$3000,$A27)</f>
        <v>26</v>
      </c>
      <c r="C27" s="9" t="n">
        <f aca="false">COUNTIFS('Test Cases'!$B$2:$B$3000,$A27,'Test Cases'!$M$2:$M$3000,"Pass")</f>
        <v>0</v>
      </c>
      <c r="D27" s="9" t="n">
        <f aca="false">COUNTIFS('Test Cases'!$B$2:$B$3000,$A27,'Test Cases'!$M$2:$M$3000,"Fail")</f>
        <v>0</v>
      </c>
      <c r="E27" s="9" t="n">
        <f aca="false">COUNTIFS('Test Cases'!$B$2:$B$3000,$A27,'Test Cases'!$M$2:$M$3000,"Blocked")</f>
        <v>0</v>
      </c>
      <c r="F27" s="9" t="n">
        <f aca="false">COUNTIFS('Test Cases'!$B$2:$B$3000,$A27,'Test Cases'!$M$2:$M$3000,"N/A")</f>
        <v>0</v>
      </c>
      <c r="G27" s="9" t="n">
        <f aca="false">COUNTIFS('Test Cases'!$B$2:$B$3000,$A27,'Test Cases'!$M$2:$M$3000,"Not Run")</f>
        <v>26</v>
      </c>
      <c r="H27" s="10" t="n">
        <f aca="false">IFERROR((B27-G27)/B27,0)</f>
        <v>0</v>
      </c>
      <c r="I27" s="10" t="n">
        <f aca="false">IFERROR(C27/(C27+D27+E27),0)</f>
        <v>0</v>
      </c>
    </row>
    <row r="28" customFormat="false" ht="15" hidden="false" customHeight="false" outlineLevel="0" collapsed="false">
      <c r="A28" s="11" t="s">
        <v>65</v>
      </c>
      <c r="B28" s="12" t="n">
        <f aca="false">COUNTIF('Test Cases'!$B$2:$B$3000,$A28)</f>
        <v>9</v>
      </c>
      <c r="C28" s="12" t="n">
        <f aca="false">COUNTIFS('Test Cases'!$B$2:$B$3000,$A28,'Test Cases'!$M$2:$M$3000,"Pass")</f>
        <v>0</v>
      </c>
      <c r="D28" s="12" t="n">
        <f aca="false">COUNTIFS('Test Cases'!$B$2:$B$3000,$A28,'Test Cases'!$M$2:$M$3000,"Fail")</f>
        <v>0</v>
      </c>
      <c r="E28" s="12" t="n">
        <f aca="false">COUNTIFS('Test Cases'!$B$2:$B$3000,$A28,'Test Cases'!$M$2:$M$3000,"Blocked")</f>
        <v>0</v>
      </c>
      <c r="F28" s="12" t="n">
        <f aca="false">COUNTIFS('Test Cases'!$B$2:$B$3000,$A28,'Test Cases'!$M$2:$M$3000,"N/A")</f>
        <v>0</v>
      </c>
      <c r="G28" s="12" t="n">
        <f aca="false">COUNTIFS('Test Cases'!$B$2:$B$3000,$A28,'Test Cases'!$M$2:$M$3000,"Not Run")</f>
        <v>9</v>
      </c>
      <c r="H28" s="13" t="n">
        <f aca="false">IFERROR((B28-G28)/B28,0)</f>
        <v>0</v>
      </c>
      <c r="I28" s="13" t="n">
        <f aca="false">IFERROR(C28/(C28+D28+E28),0)</f>
        <v>0</v>
      </c>
    </row>
    <row r="29" customFormat="false" ht="15" hidden="false" customHeight="false" outlineLevel="0" collapsed="false">
      <c r="A29" s="8" t="s">
        <v>66</v>
      </c>
      <c r="B29" s="9" t="n">
        <f aca="false">COUNTIF('Test Cases'!$B$2:$B$3000,$A29)</f>
        <v>6</v>
      </c>
      <c r="C29" s="9" t="n">
        <f aca="false">COUNTIFS('Test Cases'!$B$2:$B$3000,$A29,'Test Cases'!$M$2:$M$3000,"Pass")</f>
        <v>0</v>
      </c>
      <c r="D29" s="9" t="n">
        <f aca="false">COUNTIFS('Test Cases'!$B$2:$B$3000,$A29,'Test Cases'!$M$2:$M$3000,"Fail")</f>
        <v>0</v>
      </c>
      <c r="E29" s="9" t="n">
        <f aca="false">COUNTIFS('Test Cases'!$B$2:$B$3000,$A29,'Test Cases'!$M$2:$M$3000,"Blocked")</f>
        <v>0</v>
      </c>
      <c r="F29" s="9" t="n">
        <f aca="false">COUNTIFS('Test Cases'!$B$2:$B$3000,$A29,'Test Cases'!$M$2:$M$3000,"N/A")</f>
        <v>0</v>
      </c>
      <c r="G29" s="9" t="n">
        <f aca="false">COUNTIFS('Test Cases'!$B$2:$B$3000,$A29,'Test Cases'!$M$2:$M$3000,"Not Run")</f>
        <v>6</v>
      </c>
      <c r="H29" s="10" t="n">
        <f aca="false">IFERROR((B29-G29)/B29,0)</f>
        <v>0</v>
      </c>
      <c r="I29" s="10" t="n">
        <f aca="false">IFERROR(C29/(C29+D29+E29),0)</f>
        <v>0</v>
      </c>
    </row>
    <row r="30" customFormat="false" ht="15" hidden="false" customHeight="false" outlineLevel="0" collapsed="false">
      <c r="A30" s="11" t="s">
        <v>67</v>
      </c>
      <c r="B30" s="12" t="n">
        <f aca="false">COUNTIF('Test Cases'!$B$2:$B$3000,$A30)</f>
        <v>24</v>
      </c>
      <c r="C30" s="12" t="n">
        <f aca="false">COUNTIFS('Test Cases'!$B$2:$B$3000,$A30,'Test Cases'!$M$2:$M$3000,"Pass")</f>
        <v>0</v>
      </c>
      <c r="D30" s="12" t="n">
        <f aca="false">COUNTIFS('Test Cases'!$B$2:$B$3000,$A30,'Test Cases'!$M$2:$M$3000,"Fail")</f>
        <v>0</v>
      </c>
      <c r="E30" s="12" t="n">
        <f aca="false">COUNTIFS('Test Cases'!$B$2:$B$3000,$A30,'Test Cases'!$M$2:$M$3000,"Blocked")</f>
        <v>0</v>
      </c>
      <c r="F30" s="12" t="n">
        <f aca="false">COUNTIFS('Test Cases'!$B$2:$B$3000,$A30,'Test Cases'!$M$2:$M$3000,"N/A")</f>
        <v>0</v>
      </c>
      <c r="G30" s="12" t="n">
        <f aca="false">COUNTIFS('Test Cases'!$B$2:$B$3000,$A30,'Test Cases'!$M$2:$M$3000,"Not Run")</f>
        <v>24</v>
      </c>
      <c r="H30" s="13" t="n">
        <f aca="false">IFERROR((B30-G30)/B30,0)</f>
        <v>0</v>
      </c>
      <c r="I30" s="13" t="n">
        <f aca="false">IFERROR(C30/(C30+D30+E30),0)</f>
        <v>0</v>
      </c>
    </row>
    <row r="31" customFormat="false" ht="15" hidden="false" customHeight="false" outlineLevel="0" collapsed="false">
      <c r="A31" s="8" t="s">
        <v>68</v>
      </c>
      <c r="B31" s="9" t="n">
        <f aca="false">COUNTIF('Test Cases'!$B$2:$B$3000,$A31)</f>
        <v>16</v>
      </c>
      <c r="C31" s="9" t="n">
        <f aca="false">COUNTIFS('Test Cases'!$B$2:$B$3000,$A31,'Test Cases'!$M$2:$M$3000,"Pass")</f>
        <v>0</v>
      </c>
      <c r="D31" s="9" t="n">
        <f aca="false">COUNTIFS('Test Cases'!$B$2:$B$3000,$A31,'Test Cases'!$M$2:$M$3000,"Fail")</f>
        <v>0</v>
      </c>
      <c r="E31" s="9" t="n">
        <f aca="false">COUNTIFS('Test Cases'!$B$2:$B$3000,$A31,'Test Cases'!$M$2:$M$3000,"Blocked")</f>
        <v>0</v>
      </c>
      <c r="F31" s="9" t="n">
        <f aca="false">COUNTIFS('Test Cases'!$B$2:$B$3000,$A31,'Test Cases'!$M$2:$M$3000,"N/A")</f>
        <v>0</v>
      </c>
      <c r="G31" s="9" t="n">
        <f aca="false">COUNTIFS('Test Cases'!$B$2:$B$3000,$A31,'Test Cases'!$M$2:$M$3000,"Not Run")</f>
        <v>16</v>
      </c>
      <c r="H31" s="10" t="n">
        <f aca="false">IFERROR((B31-G31)/B31,0)</f>
        <v>0</v>
      </c>
      <c r="I31" s="10" t="n">
        <f aca="false">IFERROR(C31/(C31+D31+E31),0)</f>
        <v>0</v>
      </c>
    </row>
    <row r="32" customFormat="false" ht="15" hidden="false" customHeight="false" outlineLevel="0" collapsed="false">
      <c r="A32" s="11" t="s">
        <v>69</v>
      </c>
      <c r="B32" s="12" t="n">
        <f aca="false">COUNTIF('Test Cases'!$B$2:$B$3000,$A32)</f>
        <v>10</v>
      </c>
      <c r="C32" s="12" t="n">
        <f aca="false">COUNTIFS('Test Cases'!$B$2:$B$3000,$A32,'Test Cases'!$M$2:$M$3000,"Pass")</f>
        <v>0</v>
      </c>
      <c r="D32" s="12" t="n">
        <f aca="false">COUNTIFS('Test Cases'!$B$2:$B$3000,$A32,'Test Cases'!$M$2:$M$3000,"Fail")</f>
        <v>0</v>
      </c>
      <c r="E32" s="12" t="n">
        <f aca="false">COUNTIFS('Test Cases'!$B$2:$B$3000,$A32,'Test Cases'!$M$2:$M$3000,"Blocked")</f>
        <v>0</v>
      </c>
      <c r="F32" s="12" t="n">
        <f aca="false">COUNTIFS('Test Cases'!$B$2:$B$3000,$A32,'Test Cases'!$M$2:$M$3000,"N/A")</f>
        <v>0</v>
      </c>
      <c r="G32" s="12" t="n">
        <f aca="false">COUNTIFS('Test Cases'!$B$2:$B$3000,$A32,'Test Cases'!$M$2:$M$3000,"Not Run")</f>
        <v>10</v>
      </c>
      <c r="H32" s="13" t="n">
        <f aca="false">IFERROR((B32-G32)/B32,0)</f>
        <v>0</v>
      </c>
      <c r="I32" s="13" t="n">
        <f aca="false">IFERROR(C32/(C32+D32+E32),0)</f>
        <v>0</v>
      </c>
    </row>
    <row r="33" customFormat="false" ht="15" hidden="false" customHeight="false" outlineLevel="0" collapsed="false">
      <c r="A33" s="8" t="s">
        <v>70</v>
      </c>
      <c r="B33" s="9" t="n">
        <f aca="false">COUNTIF('Test Cases'!$B$2:$B$3000,$A33)</f>
        <v>12</v>
      </c>
      <c r="C33" s="9" t="n">
        <f aca="false">COUNTIFS('Test Cases'!$B$2:$B$3000,$A33,'Test Cases'!$M$2:$M$3000,"Pass")</f>
        <v>0</v>
      </c>
      <c r="D33" s="9" t="n">
        <f aca="false">COUNTIFS('Test Cases'!$B$2:$B$3000,$A33,'Test Cases'!$M$2:$M$3000,"Fail")</f>
        <v>0</v>
      </c>
      <c r="E33" s="9" t="n">
        <f aca="false">COUNTIFS('Test Cases'!$B$2:$B$3000,$A33,'Test Cases'!$M$2:$M$3000,"Blocked")</f>
        <v>0</v>
      </c>
      <c r="F33" s="9" t="n">
        <f aca="false">COUNTIFS('Test Cases'!$B$2:$B$3000,$A33,'Test Cases'!$M$2:$M$3000,"N/A")</f>
        <v>0</v>
      </c>
      <c r="G33" s="9" t="n">
        <f aca="false">COUNTIFS('Test Cases'!$B$2:$B$3000,$A33,'Test Cases'!$M$2:$M$3000,"Not Run")</f>
        <v>12</v>
      </c>
      <c r="H33" s="10" t="n">
        <f aca="false">IFERROR((B33-G33)/B33,0)</f>
        <v>0</v>
      </c>
      <c r="I33" s="10" t="n">
        <f aca="false">IFERROR(C33/(C33+D33+E33),0)</f>
        <v>0</v>
      </c>
    </row>
    <row r="34" customFormat="false" ht="15" hidden="false" customHeight="false" outlineLevel="0" collapsed="false">
      <c r="A34" s="11" t="s">
        <v>71</v>
      </c>
      <c r="B34" s="12" t="n">
        <f aca="false">COUNTIF('Test Cases'!$B$2:$B$3000,$A34)</f>
        <v>7</v>
      </c>
      <c r="C34" s="12" t="n">
        <f aca="false">COUNTIFS('Test Cases'!$B$2:$B$3000,$A34,'Test Cases'!$M$2:$M$3000,"Pass")</f>
        <v>0</v>
      </c>
      <c r="D34" s="12" t="n">
        <f aca="false">COUNTIFS('Test Cases'!$B$2:$B$3000,$A34,'Test Cases'!$M$2:$M$3000,"Fail")</f>
        <v>0</v>
      </c>
      <c r="E34" s="12" t="n">
        <f aca="false">COUNTIFS('Test Cases'!$B$2:$B$3000,$A34,'Test Cases'!$M$2:$M$3000,"Blocked")</f>
        <v>0</v>
      </c>
      <c r="F34" s="12" t="n">
        <f aca="false">COUNTIFS('Test Cases'!$B$2:$B$3000,$A34,'Test Cases'!$M$2:$M$3000,"N/A")</f>
        <v>0</v>
      </c>
      <c r="G34" s="12" t="n">
        <f aca="false">COUNTIFS('Test Cases'!$B$2:$B$3000,$A34,'Test Cases'!$M$2:$M$3000,"Not Run")</f>
        <v>7</v>
      </c>
      <c r="H34" s="13" t="n">
        <f aca="false">IFERROR((B34-G34)/B34,0)</f>
        <v>0</v>
      </c>
      <c r="I34" s="13" t="n">
        <f aca="false">IFERROR(C34/(C34+D34+E34),0)</f>
        <v>0</v>
      </c>
    </row>
    <row r="35" customFormat="false" ht="15" hidden="false" customHeight="false" outlineLevel="0" collapsed="false">
      <c r="A35" s="8" t="s">
        <v>72</v>
      </c>
      <c r="B35" s="9" t="n">
        <f aca="false">COUNTIF('Test Cases'!$B$2:$B$3000,$A35)</f>
        <v>8</v>
      </c>
      <c r="C35" s="9" t="n">
        <f aca="false">COUNTIFS('Test Cases'!$B$2:$B$3000,$A35,'Test Cases'!$M$2:$M$3000,"Pass")</f>
        <v>0</v>
      </c>
      <c r="D35" s="9" t="n">
        <f aca="false">COUNTIFS('Test Cases'!$B$2:$B$3000,$A35,'Test Cases'!$M$2:$M$3000,"Fail")</f>
        <v>0</v>
      </c>
      <c r="E35" s="9" t="n">
        <f aca="false">COUNTIFS('Test Cases'!$B$2:$B$3000,$A35,'Test Cases'!$M$2:$M$3000,"Blocked")</f>
        <v>0</v>
      </c>
      <c r="F35" s="9" t="n">
        <f aca="false">COUNTIFS('Test Cases'!$B$2:$B$3000,$A35,'Test Cases'!$M$2:$M$3000,"N/A")</f>
        <v>0</v>
      </c>
      <c r="G35" s="9" t="n">
        <f aca="false">COUNTIFS('Test Cases'!$B$2:$B$3000,$A35,'Test Cases'!$M$2:$M$3000,"Not Run")</f>
        <v>8</v>
      </c>
      <c r="H35" s="10" t="n">
        <f aca="false">IFERROR((B35-G35)/B35,0)</f>
        <v>0</v>
      </c>
      <c r="I35" s="10" t="n">
        <f aca="false">IFERROR(C35/(C35+D35+E35),0)</f>
        <v>0</v>
      </c>
    </row>
    <row r="36" customFormat="false" ht="15" hidden="false" customHeight="false" outlineLevel="0" collapsed="false">
      <c r="A36" s="11" t="s">
        <v>73</v>
      </c>
      <c r="B36" s="12" t="n">
        <f aca="false">COUNTIF('Test Cases'!$B$2:$B$3000,$A36)</f>
        <v>16</v>
      </c>
      <c r="C36" s="12" t="n">
        <f aca="false">COUNTIFS('Test Cases'!$B$2:$B$3000,$A36,'Test Cases'!$M$2:$M$3000,"Pass")</f>
        <v>0</v>
      </c>
      <c r="D36" s="12" t="n">
        <f aca="false">COUNTIFS('Test Cases'!$B$2:$B$3000,$A36,'Test Cases'!$M$2:$M$3000,"Fail")</f>
        <v>0</v>
      </c>
      <c r="E36" s="12" t="n">
        <f aca="false">COUNTIFS('Test Cases'!$B$2:$B$3000,$A36,'Test Cases'!$M$2:$M$3000,"Blocked")</f>
        <v>0</v>
      </c>
      <c r="F36" s="12" t="n">
        <f aca="false">COUNTIFS('Test Cases'!$B$2:$B$3000,$A36,'Test Cases'!$M$2:$M$3000,"N/A")</f>
        <v>0</v>
      </c>
      <c r="G36" s="12" t="n">
        <f aca="false">COUNTIFS('Test Cases'!$B$2:$B$3000,$A36,'Test Cases'!$M$2:$M$3000,"Not Run")</f>
        <v>16</v>
      </c>
      <c r="H36" s="13" t="n">
        <f aca="false">IFERROR((B36-G36)/B36,0)</f>
        <v>0</v>
      </c>
      <c r="I36" s="13" t="n">
        <f aca="false">IFERROR(C36/(C36+D36+E36),0)</f>
        <v>0</v>
      </c>
    </row>
    <row r="37" customFormat="false" ht="15" hidden="false" customHeight="false" outlineLevel="0" collapsed="false">
      <c r="A37" s="8" t="s">
        <v>74</v>
      </c>
      <c r="B37" s="9" t="n">
        <f aca="false">COUNTIF('Test Cases'!$B$2:$B$3000,$A37)</f>
        <v>5</v>
      </c>
      <c r="C37" s="9" t="n">
        <f aca="false">COUNTIFS('Test Cases'!$B$2:$B$3000,$A37,'Test Cases'!$M$2:$M$3000,"Pass")</f>
        <v>0</v>
      </c>
      <c r="D37" s="9" t="n">
        <f aca="false">COUNTIFS('Test Cases'!$B$2:$B$3000,$A37,'Test Cases'!$M$2:$M$3000,"Fail")</f>
        <v>0</v>
      </c>
      <c r="E37" s="9" t="n">
        <f aca="false">COUNTIFS('Test Cases'!$B$2:$B$3000,$A37,'Test Cases'!$M$2:$M$3000,"Blocked")</f>
        <v>0</v>
      </c>
      <c r="F37" s="9" t="n">
        <f aca="false">COUNTIFS('Test Cases'!$B$2:$B$3000,$A37,'Test Cases'!$M$2:$M$3000,"N/A")</f>
        <v>0</v>
      </c>
      <c r="G37" s="9" t="n">
        <f aca="false">COUNTIFS('Test Cases'!$B$2:$B$3000,$A37,'Test Cases'!$M$2:$M$3000,"Not Run")</f>
        <v>5</v>
      </c>
      <c r="H37" s="10" t="n">
        <f aca="false">IFERROR((B37-G37)/B37,0)</f>
        <v>0</v>
      </c>
      <c r="I37" s="10" t="n">
        <f aca="false">IFERROR(C37/(C37+D37+E37),0)</f>
        <v>0</v>
      </c>
    </row>
    <row r="38" customFormat="false" ht="15" hidden="false" customHeight="false" outlineLevel="0" collapsed="false">
      <c r="A38" s="11" t="s">
        <v>75</v>
      </c>
      <c r="B38" s="12" t="n">
        <f aca="false">COUNTIF('Test Cases'!$B$2:$B$3000,$A38)</f>
        <v>6</v>
      </c>
      <c r="C38" s="12" t="n">
        <f aca="false">COUNTIFS('Test Cases'!$B$2:$B$3000,$A38,'Test Cases'!$M$2:$M$3000,"Pass")</f>
        <v>0</v>
      </c>
      <c r="D38" s="12" t="n">
        <f aca="false">COUNTIFS('Test Cases'!$B$2:$B$3000,$A38,'Test Cases'!$M$2:$M$3000,"Fail")</f>
        <v>0</v>
      </c>
      <c r="E38" s="12" t="n">
        <f aca="false">COUNTIFS('Test Cases'!$B$2:$B$3000,$A38,'Test Cases'!$M$2:$M$3000,"Blocked")</f>
        <v>0</v>
      </c>
      <c r="F38" s="12" t="n">
        <f aca="false">COUNTIFS('Test Cases'!$B$2:$B$3000,$A38,'Test Cases'!$M$2:$M$3000,"N/A")</f>
        <v>0</v>
      </c>
      <c r="G38" s="12" t="n">
        <f aca="false">COUNTIFS('Test Cases'!$B$2:$B$3000,$A38,'Test Cases'!$M$2:$M$3000,"Not Run")</f>
        <v>6</v>
      </c>
      <c r="H38" s="13" t="n">
        <f aca="false">IFERROR((B38-G38)/B38,0)</f>
        <v>0</v>
      </c>
      <c r="I38" s="13" t="n">
        <f aca="false">IFERROR(C38/(C38+D38+E38),0)</f>
        <v>0</v>
      </c>
    </row>
    <row r="39" customFormat="false" ht="15" hidden="false" customHeight="false" outlineLevel="0" collapsed="false">
      <c r="A39" s="8" t="s">
        <v>76</v>
      </c>
      <c r="B39" s="9" t="n">
        <f aca="false">COUNTIF('Test Cases'!$B$2:$B$3000,$A39)</f>
        <v>13</v>
      </c>
      <c r="C39" s="9" t="n">
        <f aca="false">COUNTIFS('Test Cases'!$B$2:$B$3000,$A39,'Test Cases'!$M$2:$M$3000,"Pass")</f>
        <v>0</v>
      </c>
      <c r="D39" s="9" t="n">
        <f aca="false">COUNTIFS('Test Cases'!$B$2:$B$3000,$A39,'Test Cases'!$M$2:$M$3000,"Fail")</f>
        <v>0</v>
      </c>
      <c r="E39" s="9" t="n">
        <f aca="false">COUNTIFS('Test Cases'!$B$2:$B$3000,$A39,'Test Cases'!$M$2:$M$3000,"Blocked")</f>
        <v>0</v>
      </c>
      <c r="F39" s="9" t="n">
        <f aca="false">COUNTIFS('Test Cases'!$B$2:$B$3000,$A39,'Test Cases'!$M$2:$M$3000,"N/A")</f>
        <v>0</v>
      </c>
      <c r="G39" s="9" t="n">
        <f aca="false">COUNTIFS('Test Cases'!$B$2:$B$3000,$A39,'Test Cases'!$M$2:$M$3000,"Not Run")</f>
        <v>13</v>
      </c>
      <c r="H39" s="10" t="n">
        <f aca="false">IFERROR((B39-G39)/B39,0)</f>
        <v>0</v>
      </c>
      <c r="I39" s="10" t="n">
        <f aca="false">IFERROR(C39/(C39+D39+E39),0)</f>
        <v>0</v>
      </c>
    </row>
    <row r="40" customFormat="false" ht="15" hidden="false" customHeight="false" outlineLevel="0" collapsed="false">
      <c r="A40" s="14" t="s">
        <v>77</v>
      </c>
      <c r="B40" s="15" t="n">
        <f aca="false">SUM(B5:B39)</f>
        <v>463</v>
      </c>
      <c r="C40" s="15" t="n">
        <f aca="false">SUM(C5:C39)</f>
        <v>0</v>
      </c>
      <c r="D40" s="15" t="n">
        <f aca="false">SUM(D5:D39)</f>
        <v>0</v>
      </c>
      <c r="E40" s="15" t="n">
        <f aca="false">SUM(E5:E39)</f>
        <v>0</v>
      </c>
      <c r="F40" s="15" t="n">
        <f aca="false">SUM(F5:F39)</f>
        <v>0</v>
      </c>
      <c r="G40" s="15" t="n">
        <f aca="false">SUM(G5:G39)</f>
        <v>463</v>
      </c>
      <c r="H40" s="16" t="n">
        <f aca="false">IFERROR((B40-G40)/B40,0)</f>
        <v>0</v>
      </c>
      <c r="I40" s="16" t="n">
        <f aca="false">IFERROR(C40/(C40+D40+E40),0)</f>
        <v>0</v>
      </c>
    </row>
    <row r="43" customFormat="false" ht="15" hidden="false" customHeight="false" outlineLevel="0" collapsed="false">
      <c r="A43" s="5" t="s">
        <v>78</v>
      </c>
    </row>
    <row r="44" customFormat="false" ht="30" hidden="false" customHeight="true" outlineLevel="0" collapsed="false">
      <c r="A44" s="7" t="s">
        <v>8</v>
      </c>
      <c r="B44" s="7" t="s">
        <v>34</v>
      </c>
      <c r="C44" s="7" t="s">
        <v>35</v>
      </c>
      <c r="D44" s="7" t="s">
        <v>36</v>
      </c>
      <c r="E44" s="7" t="s">
        <v>37</v>
      </c>
      <c r="F44" s="7" t="s">
        <v>38</v>
      </c>
      <c r="G44" s="7" t="s">
        <v>39</v>
      </c>
      <c r="H44" s="7" t="s">
        <v>40</v>
      </c>
      <c r="I44" s="7" t="s">
        <v>41</v>
      </c>
    </row>
    <row r="45" customFormat="false" ht="15" hidden="false" customHeight="false" outlineLevel="0" collapsed="false">
      <c r="A45" s="17" t="s">
        <v>79</v>
      </c>
      <c r="B45" s="9" t="n">
        <f aca="false">COUNTIF('Test Cases'!$F$2:$F$3000,$A45)</f>
        <v>171</v>
      </c>
      <c r="C45" s="9" t="n">
        <f aca="false">COUNTIFS('Test Cases'!$F$2:$F$3000,$A45,'Test Cases'!$M$2:$M$3000,"Pass")</f>
        <v>0</v>
      </c>
      <c r="D45" s="9" t="n">
        <f aca="false">COUNTIFS('Test Cases'!$F$2:$F$3000,$A45,'Test Cases'!$M$2:$M$3000,"Fail")</f>
        <v>0</v>
      </c>
      <c r="E45" s="9" t="n">
        <f aca="false">COUNTIFS('Test Cases'!$F$2:$F$3000,$A45,'Test Cases'!$M$2:$M$3000,"Blocked")</f>
        <v>0</v>
      </c>
      <c r="F45" s="9" t="n">
        <f aca="false">COUNTIFS('Test Cases'!$F$2:$F$3000,$A45,'Test Cases'!$M$2:$M$3000,"N/A")</f>
        <v>0</v>
      </c>
      <c r="G45" s="9" t="n">
        <f aca="false">COUNTIFS('Test Cases'!$F$2:$F$3000,$A45,'Test Cases'!$M$2:$M$3000,"Not Run")</f>
        <v>171</v>
      </c>
      <c r="H45" s="10" t="n">
        <f aca="false">IFERROR((B45-G45)/B45,0)</f>
        <v>0</v>
      </c>
      <c r="I45" s="10" t="n">
        <f aca="false">IFERROR(C45/(C45+D45+E45),0)</f>
        <v>0</v>
      </c>
    </row>
    <row r="46" customFormat="false" ht="15" hidden="false" customHeight="false" outlineLevel="0" collapsed="false">
      <c r="A46" s="17" t="s">
        <v>80</v>
      </c>
      <c r="B46" s="9" t="n">
        <f aca="false">COUNTIF('Test Cases'!$F$2:$F$3000,$A46)</f>
        <v>176</v>
      </c>
      <c r="C46" s="9" t="n">
        <f aca="false">COUNTIFS('Test Cases'!$F$2:$F$3000,$A46,'Test Cases'!$M$2:$M$3000,"Pass")</f>
        <v>0</v>
      </c>
      <c r="D46" s="9" t="n">
        <f aca="false">COUNTIFS('Test Cases'!$F$2:$F$3000,$A46,'Test Cases'!$M$2:$M$3000,"Fail")</f>
        <v>0</v>
      </c>
      <c r="E46" s="9" t="n">
        <f aca="false">COUNTIFS('Test Cases'!$F$2:$F$3000,$A46,'Test Cases'!$M$2:$M$3000,"Blocked")</f>
        <v>0</v>
      </c>
      <c r="F46" s="9" t="n">
        <f aca="false">COUNTIFS('Test Cases'!$F$2:$F$3000,$A46,'Test Cases'!$M$2:$M$3000,"N/A")</f>
        <v>0</v>
      </c>
      <c r="G46" s="9" t="n">
        <f aca="false">COUNTIFS('Test Cases'!$F$2:$F$3000,$A46,'Test Cases'!$M$2:$M$3000,"Not Run")</f>
        <v>176</v>
      </c>
      <c r="H46" s="10" t="n">
        <f aca="false">IFERROR((B46-G46)/B46,0)</f>
        <v>0</v>
      </c>
      <c r="I46" s="10" t="n">
        <f aca="false">IFERROR(C46/(C46+D46+E46),0)</f>
        <v>0</v>
      </c>
    </row>
    <row r="47" customFormat="false" ht="15" hidden="false" customHeight="false" outlineLevel="0" collapsed="false">
      <c r="A47" s="17" t="s">
        <v>81</v>
      </c>
      <c r="B47" s="9" t="n">
        <f aca="false">COUNTIF('Test Cases'!$F$2:$F$3000,$A47)</f>
        <v>116</v>
      </c>
      <c r="C47" s="9" t="n">
        <f aca="false">COUNTIFS('Test Cases'!$F$2:$F$3000,$A47,'Test Cases'!$M$2:$M$3000,"Pass")</f>
        <v>0</v>
      </c>
      <c r="D47" s="9" t="n">
        <f aca="false">COUNTIFS('Test Cases'!$F$2:$F$3000,$A47,'Test Cases'!$M$2:$M$3000,"Fail")</f>
        <v>0</v>
      </c>
      <c r="E47" s="9" t="n">
        <f aca="false">COUNTIFS('Test Cases'!$F$2:$F$3000,$A47,'Test Cases'!$M$2:$M$3000,"Blocked")</f>
        <v>0</v>
      </c>
      <c r="F47" s="9" t="n">
        <f aca="false">COUNTIFS('Test Cases'!$F$2:$F$3000,$A47,'Test Cases'!$M$2:$M$3000,"N/A")</f>
        <v>0</v>
      </c>
      <c r="G47" s="9" t="n">
        <f aca="false">COUNTIFS('Test Cases'!$F$2:$F$3000,$A47,'Test Cases'!$M$2:$M$3000,"Not Run")</f>
        <v>116</v>
      </c>
      <c r="H47" s="10" t="n">
        <f aca="false">IFERROR((B47-G47)/B47,0)</f>
        <v>0</v>
      </c>
      <c r="I47" s="10" t="n">
        <f aca="false">IFERROR(C47/(C47+D47+E47),0)</f>
        <v>0</v>
      </c>
    </row>
    <row r="50" customFormat="false" ht="15" hidden="false" customHeight="false" outlineLevel="0" collapsed="false">
      <c r="A50" s="5" t="s">
        <v>82</v>
      </c>
    </row>
    <row r="51" customFormat="false" ht="15" hidden="false" customHeight="false" outlineLevel="0" collapsed="false">
      <c r="A51" s="3" t="s">
        <v>83</v>
      </c>
      <c r="B51" s="18" t="n">
        <f aca="false">COUNTIFS('Test Cases'!$F$2:$F$3000,"P1",'Test Cases'!$M$2:$M$3000,"Fail")</f>
        <v>0</v>
      </c>
    </row>
    <row r="52" customFormat="false" ht="15" hidden="false" customHeight="false" outlineLevel="0" collapsed="false">
      <c r="A52" s="3" t="s">
        <v>84</v>
      </c>
      <c r="B52" s="18" t="n">
        <f aca="false">COUNTIFS('Defect Log'!$I$3:$I$2000,"&lt;&gt;Closed",'Defect Log'!$A$3:$A$2000,"&lt;&gt;")</f>
        <v>1</v>
      </c>
      <c r="C52" s="19" t="s">
        <v>85</v>
      </c>
    </row>
    <row r="53" customFormat="false" ht="15" hidden="false" customHeight="false" outlineLevel="0" collapsed="false">
      <c r="A53" s="3" t="s">
        <v>86</v>
      </c>
      <c r="B53" s="3" t="str">
        <f aca="false">IF(AND(B51=0,D40=0,G40=0),"YES","NO")</f>
        <v>NO</v>
      </c>
    </row>
    <row r="54" customFormat="false" ht="15" hidden="false" customHeight="false" outlineLevel="0" collapsed="false">
      <c r="A54" s="19" t="s">
        <v>87</v>
      </c>
    </row>
  </sheetData>
  <conditionalFormatting sqref="B53">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45"/>
    <pageSetUpPr fitToPage="true"/>
  </sheetPr>
  <dimension ref="A1:Q4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6"/>
    <col collapsed="false" customWidth="true" hidden="false" outlineLevel="0" max="4" min="4" style="0" width="38"/>
    <col collapsed="false" customWidth="true" hidden="false" outlineLevel="0" max="5" min="5" style="0" width="15"/>
    <col collapsed="false" customWidth="true" hidden="false" outlineLevel="0" max="6" min="6" style="0" width="8"/>
    <col collapsed="false" customWidth="true" hidden="false" outlineLevel="0" max="7" min="7" style="0" width="11"/>
    <col collapsed="false" customWidth="true" hidden="false" outlineLevel="0" max="8" min="8" style="0" width="32"/>
    <col collapsed="false" customWidth="true" hidden="false" outlineLevel="0" max="9" min="9" style="0" width="48"/>
    <col collapsed="false" customWidth="true" hidden="false" outlineLevel="0" max="10" min="10" style="0" width="24"/>
    <col collapsed="false" customWidth="true" hidden="false" outlineLevel="0" max="11" min="11" style="0" width="48"/>
    <col collapsed="false" customWidth="true" hidden="false" outlineLevel="0" max="12" min="12" style="0" width="30"/>
    <col collapsed="false" customWidth="true" hidden="false" outlineLevel="0" max="13" min="13" style="0" width="11"/>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24"/>
  </cols>
  <sheetData>
    <row r="1" customFormat="false" ht="30" hidden="false" customHeight="true" outlineLevel="0" collapsed="false">
      <c r="A1" s="7" t="s">
        <v>88</v>
      </c>
      <c r="B1" s="7" t="s">
        <v>33</v>
      </c>
      <c r="C1" s="7" t="s">
        <v>89</v>
      </c>
      <c r="D1" s="7" t="s">
        <v>90</v>
      </c>
      <c r="E1" s="7" t="s">
        <v>91</v>
      </c>
      <c r="F1" s="7" t="s">
        <v>8</v>
      </c>
      <c r="G1" s="7" t="s">
        <v>10</v>
      </c>
      <c r="H1" s="7" t="s">
        <v>92</v>
      </c>
      <c r="I1" s="7" t="s">
        <v>93</v>
      </c>
      <c r="J1" s="7" t="s">
        <v>94</v>
      </c>
      <c r="K1" s="7" t="s">
        <v>95</v>
      </c>
      <c r="L1" s="7" t="s">
        <v>96</v>
      </c>
      <c r="M1" s="7" t="s">
        <v>97</v>
      </c>
      <c r="N1" s="7" t="s">
        <v>98</v>
      </c>
      <c r="O1" s="7" t="s">
        <v>99</v>
      </c>
      <c r="P1" s="7" t="s">
        <v>100</v>
      </c>
      <c r="Q1" s="7" t="s">
        <v>101</v>
      </c>
    </row>
    <row r="2" customFormat="false" ht="75.75" hidden="false" customHeight="true" outlineLevel="0" collapsed="false">
      <c r="A2" s="20" t="s">
        <v>102</v>
      </c>
      <c r="B2" s="21" t="s">
        <v>42</v>
      </c>
      <c r="C2" s="21" t="s">
        <v>103</v>
      </c>
      <c r="D2" s="21" t="s">
        <v>104</v>
      </c>
      <c r="E2" s="21" t="s">
        <v>105</v>
      </c>
      <c r="F2" s="20" t="s">
        <v>79</v>
      </c>
      <c r="G2" s="20" t="s">
        <v>106</v>
      </c>
      <c r="H2" s="21" t="s">
        <v>107</v>
      </c>
      <c r="I2" s="21" t="s">
        <v>108</v>
      </c>
      <c r="J2" s="21" t="s">
        <v>109</v>
      </c>
      <c r="K2" s="21" t="s">
        <v>110</v>
      </c>
      <c r="L2" s="22"/>
      <c r="M2" s="23" t="s">
        <v>39</v>
      </c>
      <c r="N2" s="22"/>
      <c r="O2" s="24"/>
      <c r="P2" s="22"/>
      <c r="Q2" s="22"/>
    </row>
    <row r="3" customFormat="false" ht="33.75" hidden="false" customHeight="true" outlineLevel="0" collapsed="false">
      <c r="A3" s="20" t="s">
        <v>111</v>
      </c>
      <c r="B3" s="21" t="s">
        <v>42</v>
      </c>
      <c r="C3" s="21" t="s">
        <v>112</v>
      </c>
      <c r="D3" s="21" t="s">
        <v>113</v>
      </c>
      <c r="E3" s="21" t="s">
        <v>105</v>
      </c>
      <c r="F3" s="20" t="s">
        <v>80</v>
      </c>
      <c r="G3" s="20" t="s">
        <v>114</v>
      </c>
      <c r="H3" s="21" t="s">
        <v>115</v>
      </c>
      <c r="I3" s="21" t="s">
        <v>116</v>
      </c>
      <c r="J3" s="21" t="s">
        <v>117</v>
      </c>
      <c r="K3" s="21" t="s">
        <v>118</v>
      </c>
      <c r="L3" s="22"/>
      <c r="M3" s="23" t="s">
        <v>39</v>
      </c>
      <c r="N3" s="22"/>
      <c r="O3" s="24"/>
      <c r="P3" s="22"/>
      <c r="Q3" s="22"/>
    </row>
    <row r="4" customFormat="false" ht="33.75" hidden="false" customHeight="true" outlineLevel="0" collapsed="false">
      <c r="A4" s="20" t="s">
        <v>119</v>
      </c>
      <c r="B4" s="21" t="s">
        <v>42</v>
      </c>
      <c r="C4" s="21" t="s">
        <v>112</v>
      </c>
      <c r="D4" s="21" t="s">
        <v>120</v>
      </c>
      <c r="E4" s="21" t="s">
        <v>105</v>
      </c>
      <c r="F4" s="20" t="s">
        <v>81</v>
      </c>
      <c r="G4" s="20" t="s">
        <v>121</v>
      </c>
      <c r="H4" s="21" t="s">
        <v>117</v>
      </c>
      <c r="I4" s="21" t="s">
        <v>122</v>
      </c>
      <c r="J4" s="21" t="s">
        <v>117</v>
      </c>
      <c r="K4" s="21" t="s">
        <v>123</v>
      </c>
      <c r="L4" s="22"/>
      <c r="M4" s="23" t="s">
        <v>39</v>
      </c>
      <c r="N4" s="22"/>
      <c r="O4" s="24"/>
      <c r="P4" s="22"/>
      <c r="Q4" s="22"/>
    </row>
    <row r="5" customFormat="false" ht="48" hidden="false" customHeight="true" outlineLevel="0" collapsed="false">
      <c r="A5" s="20" t="s">
        <v>124</v>
      </c>
      <c r="B5" s="21" t="s">
        <v>42</v>
      </c>
      <c r="C5" s="21" t="s">
        <v>112</v>
      </c>
      <c r="D5" s="21" t="s">
        <v>125</v>
      </c>
      <c r="E5" s="21" t="s">
        <v>105</v>
      </c>
      <c r="F5" s="20" t="s">
        <v>79</v>
      </c>
      <c r="G5" s="20" t="s">
        <v>121</v>
      </c>
      <c r="H5" s="21" t="s">
        <v>126</v>
      </c>
      <c r="I5" s="21" t="s">
        <v>127</v>
      </c>
      <c r="J5" s="21" t="s">
        <v>117</v>
      </c>
      <c r="K5" s="21" t="s">
        <v>128</v>
      </c>
      <c r="L5" s="22"/>
      <c r="M5" s="23" t="s">
        <v>39</v>
      </c>
      <c r="N5" s="22"/>
      <c r="O5" s="24"/>
      <c r="P5" s="22"/>
      <c r="Q5" s="22"/>
    </row>
    <row r="6" customFormat="false" ht="33.75" hidden="false" customHeight="true" outlineLevel="0" collapsed="false">
      <c r="A6" s="20" t="s">
        <v>129</v>
      </c>
      <c r="B6" s="21" t="s">
        <v>42</v>
      </c>
      <c r="C6" s="21" t="s">
        <v>112</v>
      </c>
      <c r="D6" s="21" t="s">
        <v>130</v>
      </c>
      <c r="E6" s="21" t="s">
        <v>105</v>
      </c>
      <c r="F6" s="20" t="s">
        <v>80</v>
      </c>
      <c r="G6" s="20" t="s">
        <v>114</v>
      </c>
      <c r="H6" s="21" t="s">
        <v>131</v>
      </c>
      <c r="I6" s="21" t="s">
        <v>132</v>
      </c>
      <c r="J6" s="21" t="s">
        <v>117</v>
      </c>
      <c r="K6" s="21" t="s">
        <v>133</v>
      </c>
      <c r="L6" s="22"/>
      <c r="M6" s="23" t="s">
        <v>39</v>
      </c>
      <c r="N6" s="22"/>
      <c r="O6" s="24"/>
      <c r="P6" s="22"/>
      <c r="Q6" s="22"/>
    </row>
    <row r="7" customFormat="false" ht="33.75" hidden="false" customHeight="true" outlineLevel="0" collapsed="false">
      <c r="A7" s="20" t="s">
        <v>134</v>
      </c>
      <c r="B7" s="21" t="s">
        <v>42</v>
      </c>
      <c r="C7" s="21" t="s">
        <v>112</v>
      </c>
      <c r="D7" s="21" t="s">
        <v>135</v>
      </c>
      <c r="E7" s="21" t="s">
        <v>105</v>
      </c>
      <c r="F7" s="20" t="s">
        <v>81</v>
      </c>
      <c r="G7" s="20" t="s">
        <v>136</v>
      </c>
      <c r="H7" s="21" t="s">
        <v>137</v>
      </c>
      <c r="I7" s="21" t="s">
        <v>138</v>
      </c>
      <c r="J7" s="21" t="s">
        <v>117</v>
      </c>
      <c r="K7" s="21" t="s">
        <v>139</v>
      </c>
      <c r="L7" s="22"/>
      <c r="M7" s="23" t="s">
        <v>39</v>
      </c>
      <c r="N7" s="22"/>
      <c r="O7" s="24"/>
      <c r="P7" s="22"/>
      <c r="Q7" s="22"/>
    </row>
    <row r="8" customFormat="false" ht="75.75" hidden="false" customHeight="true" outlineLevel="0" collapsed="false">
      <c r="A8" s="20" t="s">
        <v>140</v>
      </c>
      <c r="B8" s="21" t="s">
        <v>42</v>
      </c>
      <c r="C8" s="21" t="s">
        <v>141</v>
      </c>
      <c r="D8" s="21" t="s">
        <v>142</v>
      </c>
      <c r="E8" s="21" t="s">
        <v>105</v>
      </c>
      <c r="F8" s="20" t="s">
        <v>79</v>
      </c>
      <c r="G8" s="20" t="s">
        <v>136</v>
      </c>
      <c r="H8" s="21" t="s">
        <v>143</v>
      </c>
      <c r="I8" s="21" t="s">
        <v>144</v>
      </c>
      <c r="J8" s="21" t="s">
        <v>117</v>
      </c>
      <c r="K8" s="21" t="s">
        <v>145</v>
      </c>
      <c r="L8" s="22"/>
      <c r="M8" s="23" t="s">
        <v>39</v>
      </c>
      <c r="N8" s="22"/>
      <c r="O8" s="24"/>
      <c r="P8" s="22"/>
      <c r="Q8" s="22"/>
    </row>
    <row r="9" customFormat="false" ht="75.75" hidden="false" customHeight="true" outlineLevel="0" collapsed="false">
      <c r="A9" s="20" t="s">
        <v>146</v>
      </c>
      <c r="B9" s="21" t="s">
        <v>42</v>
      </c>
      <c r="C9" s="21" t="s">
        <v>141</v>
      </c>
      <c r="D9" s="21" t="s">
        <v>147</v>
      </c>
      <c r="E9" s="21" t="s">
        <v>105</v>
      </c>
      <c r="F9" s="20" t="s">
        <v>80</v>
      </c>
      <c r="G9" s="20" t="s">
        <v>136</v>
      </c>
      <c r="H9" s="21" t="s">
        <v>117</v>
      </c>
      <c r="I9" s="21" t="s">
        <v>148</v>
      </c>
      <c r="J9" s="21" t="s">
        <v>117</v>
      </c>
      <c r="K9" s="21" t="s">
        <v>149</v>
      </c>
      <c r="L9" s="22"/>
      <c r="M9" s="23" t="s">
        <v>39</v>
      </c>
      <c r="N9" s="22"/>
      <c r="O9" s="24"/>
      <c r="P9" s="22"/>
      <c r="Q9" s="22"/>
    </row>
    <row r="10" customFormat="false" ht="61.5" hidden="false" customHeight="true" outlineLevel="0" collapsed="false">
      <c r="A10" s="20" t="s">
        <v>150</v>
      </c>
      <c r="B10" s="21" t="s">
        <v>42</v>
      </c>
      <c r="C10" s="21" t="s">
        <v>141</v>
      </c>
      <c r="D10" s="21" t="s">
        <v>151</v>
      </c>
      <c r="E10" s="21" t="s">
        <v>105</v>
      </c>
      <c r="F10" s="20" t="s">
        <v>80</v>
      </c>
      <c r="G10" s="20" t="s">
        <v>114</v>
      </c>
      <c r="H10" s="21" t="s">
        <v>117</v>
      </c>
      <c r="I10" s="21" t="s">
        <v>152</v>
      </c>
      <c r="J10" s="21" t="s">
        <v>117</v>
      </c>
      <c r="K10" s="21" t="s">
        <v>153</v>
      </c>
      <c r="L10" s="22"/>
      <c r="M10" s="23" t="s">
        <v>39</v>
      </c>
      <c r="N10" s="22"/>
      <c r="O10" s="24"/>
      <c r="P10" s="22"/>
      <c r="Q10" s="22"/>
    </row>
    <row r="11" customFormat="false" ht="61.5" hidden="false" customHeight="true" outlineLevel="0" collapsed="false">
      <c r="A11" s="20" t="s">
        <v>154</v>
      </c>
      <c r="B11" s="21" t="s">
        <v>42</v>
      </c>
      <c r="C11" s="21" t="s">
        <v>141</v>
      </c>
      <c r="D11" s="21" t="s">
        <v>155</v>
      </c>
      <c r="E11" s="21" t="s">
        <v>105</v>
      </c>
      <c r="F11" s="20" t="s">
        <v>80</v>
      </c>
      <c r="G11" s="20" t="s">
        <v>136</v>
      </c>
      <c r="H11" s="21" t="s">
        <v>117</v>
      </c>
      <c r="I11" s="21" t="s">
        <v>156</v>
      </c>
      <c r="J11" s="21" t="s">
        <v>117</v>
      </c>
      <c r="K11" s="21" t="s">
        <v>157</v>
      </c>
      <c r="L11" s="22"/>
      <c r="M11" s="23" t="s">
        <v>39</v>
      </c>
      <c r="N11" s="22"/>
      <c r="O11" s="24"/>
      <c r="P11" s="22"/>
      <c r="Q11" s="22"/>
    </row>
    <row r="12" customFormat="false" ht="33.75" hidden="false" customHeight="true" outlineLevel="0" collapsed="false">
      <c r="A12" s="20" t="s">
        <v>158</v>
      </c>
      <c r="B12" s="21" t="s">
        <v>42</v>
      </c>
      <c r="C12" s="21" t="s">
        <v>141</v>
      </c>
      <c r="D12" s="21" t="s">
        <v>159</v>
      </c>
      <c r="E12" s="21" t="s">
        <v>105</v>
      </c>
      <c r="F12" s="20" t="s">
        <v>81</v>
      </c>
      <c r="G12" s="20" t="s">
        <v>114</v>
      </c>
      <c r="H12" s="21" t="s">
        <v>117</v>
      </c>
      <c r="I12" s="21" t="s">
        <v>160</v>
      </c>
      <c r="J12" s="21" t="s">
        <v>117</v>
      </c>
      <c r="K12" s="21" t="s">
        <v>161</v>
      </c>
      <c r="L12" s="22"/>
      <c r="M12" s="23" t="s">
        <v>39</v>
      </c>
      <c r="N12" s="22"/>
      <c r="O12" s="24"/>
      <c r="P12" s="22"/>
      <c r="Q12" s="22"/>
    </row>
    <row r="13" customFormat="false" ht="33.75" hidden="false" customHeight="true" outlineLevel="0" collapsed="false">
      <c r="A13" s="20" t="s">
        <v>162</v>
      </c>
      <c r="B13" s="21" t="s">
        <v>42</v>
      </c>
      <c r="C13" s="21" t="s">
        <v>141</v>
      </c>
      <c r="D13" s="21" t="s">
        <v>163</v>
      </c>
      <c r="E13" s="21" t="s">
        <v>105</v>
      </c>
      <c r="F13" s="20" t="s">
        <v>80</v>
      </c>
      <c r="G13" s="20" t="s">
        <v>136</v>
      </c>
      <c r="H13" s="21" t="s">
        <v>117</v>
      </c>
      <c r="I13" s="21" t="s">
        <v>164</v>
      </c>
      <c r="J13" s="21" t="s">
        <v>117</v>
      </c>
      <c r="K13" s="21" t="s">
        <v>165</v>
      </c>
      <c r="L13" s="22"/>
      <c r="M13" s="23" t="s">
        <v>39</v>
      </c>
      <c r="N13" s="22"/>
      <c r="O13" s="24"/>
      <c r="P13" s="22"/>
      <c r="Q13" s="22"/>
    </row>
    <row r="14" customFormat="false" ht="61.5" hidden="false" customHeight="true" outlineLevel="0" collapsed="false">
      <c r="A14" s="20" t="s">
        <v>166</v>
      </c>
      <c r="B14" s="21" t="s">
        <v>42</v>
      </c>
      <c r="C14" s="21" t="s">
        <v>141</v>
      </c>
      <c r="D14" s="21" t="s">
        <v>167</v>
      </c>
      <c r="E14" s="21" t="s">
        <v>105</v>
      </c>
      <c r="F14" s="20" t="s">
        <v>79</v>
      </c>
      <c r="G14" s="20" t="s">
        <v>121</v>
      </c>
      <c r="H14" s="21" t="s">
        <v>168</v>
      </c>
      <c r="I14" s="21" t="s">
        <v>169</v>
      </c>
      <c r="J14" s="21" t="s">
        <v>117</v>
      </c>
      <c r="K14" s="21" t="s">
        <v>170</v>
      </c>
      <c r="L14" s="22"/>
      <c r="M14" s="23" t="s">
        <v>39</v>
      </c>
      <c r="N14" s="22"/>
      <c r="O14" s="24"/>
      <c r="P14" s="22"/>
      <c r="Q14" s="22"/>
    </row>
    <row r="15" customFormat="false" ht="33.75" hidden="false" customHeight="true" outlineLevel="0" collapsed="false">
      <c r="A15" s="20" t="s">
        <v>171</v>
      </c>
      <c r="B15" s="21" t="s">
        <v>42</v>
      </c>
      <c r="C15" s="21" t="s">
        <v>141</v>
      </c>
      <c r="D15" s="21" t="s">
        <v>172</v>
      </c>
      <c r="E15" s="21" t="s">
        <v>105</v>
      </c>
      <c r="F15" s="20" t="s">
        <v>79</v>
      </c>
      <c r="G15" s="20" t="s">
        <v>121</v>
      </c>
      <c r="H15" s="21" t="s">
        <v>117</v>
      </c>
      <c r="I15" s="21" t="s">
        <v>173</v>
      </c>
      <c r="J15" s="21" t="s">
        <v>117</v>
      </c>
      <c r="K15" s="21" t="s">
        <v>174</v>
      </c>
      <c r="L15" s="22"/>
      <c r="M15" s="23" t="s">
        <v>39</v>
      </c>
      <c r="N15" s="22"/>
      <c r="O15" s="24"/>
      <c r="P15" s="22"/>
      <c r="Q15" s="22"/>
    </row>
    <row r="16" customFormat="false" ht="33.75" hidden="false" customHeight="true" outlineLevel="0" collapsed="false">
      <c r="A16" s="20" t="s">
        <v>175</v>
      </c>
      <c r="B16" s="21" t="s">
        <v>42</v>
      </c>
      <c r="C16" s="21" t="s">
        <v>176</v>
      </c>
      <c r="D16" s="21" t="s">
        <v>177</v>
      </c>
      <c r="E16" s="21" t="s">
        <v>178</v>
      </c>
      <c r="F16" s="20" t="s">
        <v>80</v>
      </c>
      <c r="G16" s="20" t="s">
        <v>106</v>
      </c>
      <c r="H16" s="21" t="s">
        <v>179</v>
      </c>
      <c r="I16" s="21" t="s">
        <v>180</v>
      </c>
      <c r="J16" s="21" t="s">
        <v>117</v>
      </c>
      <c r="K16" s="21" t="s">
        <v>181</v>
      </c>
      <c r="L16" s="22"/>
      <c r="M16" s="23" t="s">
        <v>39</v>
      </c>
      <c r="N16" s="22"/>
      <c r="O16" s="24"/>
      <c r="P16" s="22"/>
      <c r="Q16" s="22"/>
    </row>
    <row r="17" customFormat="false" ht="33.75" hidden="false" customHeight="true" outlineLevel="0" collapsed="false">
      <c r="A17" s="20" t="s">
        <v>182</v>
      </c>
      <c r="B17" s="21" t="s">
        <v>42</v>
      </c>
      <c r="C17" s="21" t="s">
        <v>176</v>
      </c>
      <c r="D17" s="21" t="s">
        <v>183</v>
      </c>
      <c r="E17" s="21" t="s">
        <v>184</v>
      </c>
      <c r="F17" s="20" t="s">
        <v>81</v>
      </c>
      <c r="G17" s="20" t="s">
        <v>121</v>
      </c>
      <c r="H17" s="21" t="s">
        <v>117</v>
      </c>
      <c r="I17" s="21" t="s">
        <v>185</v>
      </c>
      <c r="J17" s="21" t="s">
        <v>117</v>
      </c>
      <c r="K17" s="21" t="s">
        <v>186</v>
      </c>
      <c r="L17" s="22"/>
      <c r="M17" s="23" t="s">
        <v>39</v>
      </c>
      <c r="N17" s="22"/>
      <c r="O17" s="24"/>
      <c r="P17" s="22"/>
      <c r="Q17" s="22"/>
    </row>
    <row r="18" customFormat="false" ht="33.75" hidden="false" customHeight="true" outlineLevel="0" collapsed="false">
      <c r="A18" s="20" t="s">
        <v>187</v>
      </c>
      <c r="B18" s="21" t="s">
        <v>42</v>
      </c>
      <c r="C18" s="21" t="s">
        <v>188</v>
      </c>
      <c r="D18" s="21" t="s">
        <v>189</v>
      </c>
      <c r="E18" s="21" t="s">
        <v>190</v>
      </c>
      <c r="F18" s="20" t="s">
        <v>80</v>
      </c>
      <c r="G18" s="20" t="s">
        <v>106</v>
      </c>
      <c r="H18" s="21" t="s">
        <v>191</v>
      </c>
      <c r="I18" s="21" t="s">
        <v>192</v>
      </c>
      <c r="J18" s="21" t="s">
        <v>117</v>
      </c>
      <c r="K18" s="21" t="s">
        <v>193</v>
      </c>
      <c r="L18" s="22"/>
      <c r="M18" s="23" t="s">
        <v>39</v>
      </c>
      <c r="N18" s="22"/>
      <c r="O18" s="24"/>
      <c r="P18" s="22"/>
      <c r="Q18" s="22"/>
    </row>
    <row r="19" customFormat="false" ht="48" hidden="false" customHeight="true" outlineLevel="0" collapsed="false">
      <c r="A19" s="20" t="s">
        <v>194</v>
      </c>
      <c r="B19" s="21" t="s">
        <v>42</v>
      </c>
      <c r="C19" s="21" t="s">
        <v>188</v>
      </c>
      <c r="D19" s="21" t="s">
        <v>195</v>
      </c>
      <c r="E19" s="21" t="s">
        <v>190</v>
      </c>
      <c r="F19" s="20" t="s">
        <v>79</v>
      </c>
      <c r="G19" s="20" t="s">
        <v>121</v>
      </c>
      <c r="H19" s="21" t="s">
        <v>196</v>
      </c>
      <c r="I19" s="21" t="s">
        <v>197</v>
      </c>
      <c r="J19" s="21" t="s">
        <v>117</v>
      </c>
      <c r="K19" s="21" t="s">
        <v>198</v>
      </c>
      <c r="L19" s="22"/>
      <c r="M19" s="23" t="s">
        <v>39</v>
      </c>
      <c r="N19" s="22"/>
      <c r="O19" s="24"/>
      <c r="P19" s="22"/>
      <c r="Q19" s="22"/>
    </row>
    <row r="20" customFormat="false" ht="33.75" hidden="false" customHeight="true" outlineLevel="0" collapsed="false">
      <c r="A20" s="20" t="s">
        <v>199</v>
      </c>
      <c r="B20" s="21" t="s">
        <v>42</v>
      </c>
      <c r="C20" s="21" t="s">
        <v>188</v>
      </c>
      <c r="D20" s="21" t="s">
        <v>200</v>
      </c>
      <c r="E20" s="21" t="s">
        <v>201</v>
      </c>
      <c r="F20" s="20" t="s">
        <v>79</v>
      </c>
      <c r="G20" s="20" t="s">
        <v>121</v>
      </c>
      <c r="H20" s="21" t="s">
        <v>202</v>
      </c>
      <c r="I20" s="21" t="s">
        <v>203</v>
      </c>
      <c r="J20" s="21" t="s">
        <v>117</v>
      </c>
      <c r="K20" s="21" t="s">
        <v>204</v>
      </c>
      <c r="L20" s="22"/>
      <c r="M20" s="23" t="s">
        <v>39</v>
      </c>
      <c r="N20" s="22"/>
      <c r="O20" s="24"/>
      <c r="P20" s="22"/>
      <c r="Q20" s="22"/>
    </row>
    <row r="21" customFormat="false" ht="33.75" hidden="false" customHeight="true" outlineLevel="0" collapsed="false">
      <c r="A21" s="20" t="s">
        <v>205</v>
      </c>
      <c r="B21" s="21" t="s">
        <v>42</v>
      </c>
      <c r="C21" s="21" t="s">
        <v>188</v>
      </c>
      <c r="D21" s="21" t="s">
        <v>206</v>
      </c>
      <c r="E21" s="21" t="s">
        <v>178</v>
      </c>
      <c r="F21" s="20" t="s">
        <v>81</v>
      </c>
      <c r="G21" s="20" t="s">
        <v>121</v>
      </c>
      <c r="H21" s="21" t="s">
        <v>117</v>
      </c>
      <c r="I21" s="21" t="s">
        <v>207</v>
      </c>
      <c r="J21" s="21" t="s">
        <v>117</v>
      </c>
      <c r="K21" s="21" t="s">
        <v>208</v>
      </c>
      <c r="L21" s="22"/>
      <c r="M21" s="23" t="s">
        <v>39</v>
      </c>
      <c r="N21" s="22"/>
      <c r="O21" s="24"/>
      <c r="P21" s="22"/>
      <c r="Q21" s="22"/>
    </row>
    <row r="22" customFormat="false" ht="75.75" hidden="false" customHeight="true" outlineLevel="0" collapsed="false">
      <c r="A22" s="20" t="s">
        <v>209</v>
      </c>
      <c r="B22" s="21" t="s">
        <v>43</v>
      </c>
      <c r="C22" s="21" t="s">
        <v>210</v>
      </c>
      <c r="D22" s="21" t="s">
        <v>211</v>
      </c>
      <c r="E22" s="21" t="s">
        <v>190</v>
      </c>
      <c r="F22" s="20" t="s">
        <v>79</v>
      </c>
      <c r="G22" s="20" t="s">
        <v>106</v>
      </c>
      <c r="H22" s="21" t="s">
        <v>212</v>
      </c>
      <c r="I22" s="21" t="s">
        <v>213</v>
      </c>
      <c r="J22" s="21" t="s">
        <v>214</v>
      </c>
      <c r="K22" s="21" t="s">
        <v>215</v>
      </c>
      <c r="L22" s="22"/>
      <c r="M22" s="23" t="s">
        <v>39</v>
      </c>
      <c r="N22" s="22"/>
      <c r="O22" s="24"/>
      <c r="P22" s="22"/>
      <c r="Q22" s="22"/>
    </row>
    <row r="23" customFormat="false" ht="33.75" hidden="false" customHeight="true" outlineLevel="0" collapsed="false">
      <c r="A23" s="20" t="s">
        <v>216</v>
      </c>
      <c r="B23" s="21" t="s">
        <v>43</v>
      </c>
      <c r="C23" s="21" t="s">
        <v>210</v>
      </c>
      <c r="D23" s="21" t="s">
        <v>217</v>
      </c>
      <c r="E23" s="21" t="s">
        <v>190</v>
      </c>
      <c r="F23" s="20" t="s">
        <v>79</v>
      </c>
      <c r="G23" s="20" t="s">
        <v>136</v>
      </c>
      <c r="H23" s="21" t="s">
        <v>117</v>
      </c>
      <c r="I23" s="21" t="s">
        <v>218</v>
      </c>
      <c r="J23" s="21" t="s">
        <v>117</v>
      </c>
      <c r="K23" s="21" t="s">
        <v>219</v>
      </c>
      <c r="L23" s="22"/>
      <c r="M23" s="23" t="s">
        <v>39</v>
      </c>
      <c r="N23" s="22"/>
      <c r="O23" s="24"/>
      <c r="P23" s="22"/>
      <c r="Q23" s="22"/>
    </row>
    <row r="24" customFormat="false" ht="48" hidden="false" customHeight="true" outlineLevel="0" collapsed="false">
      <c r="A24" s="20" t="s">
        <v>220</v>
      </c>
      <c r="B24" s="21" t="s">
        <v>43</v>
      </c>
      <c r="C24" s="21" t="s">
        <v>210</v>
      </c>
      <c r="D24" s="21" t="s">
        <v>221</v>
      </c>
      <c r="E24" s="21" t="s">
        <v>190</v>
      </c>
      <c r="F24" s="20" t="s">
        <v>80</v>
      </c>
      <c r="G24" s="20" t="s">
        <v>114</v>
      </c>
      <c r="H24" s="21" t="s">
        <v>222</v>
      </c>
      <c r="I24" s="21" t="s">
        <v>223</v>
      </c>
      <c r="J24" s="21" t="s">
        <v>117</v>
      </c>
      <c r="K24" s="21" t="s">
        <v>224</v>
      </c>
      <c r="L24" s="22"/>
      <c r="M24" s="23" t="s">
        <v>39</v>
      </c>
      <c r="N24" s="22"/>
      <c r="O24" s="24"/>
      <c r="P24" s="22"/>
      <c r="Q24" s="22"/>
    </row>
    <row r="25" customFormat="false" ht="48" hidden="false" customHeight="true" outlineLevel="0" collapsed="false">
      <c r="A25" s="20" t="s">
        <v>225</v>
      </c>
      <c r="B25" s="21" t="s">
        <v>43</v>
      </c>
      <c r="C25" s="21" t="s">
        <v>210</v>
      </c>
      <c r="D25" s="21" t="s">
        <v>226</v>
      </c>
      <c r="E25" s="21" t="s">
        <v>190</v>
      </c>
      <c r="F25" s="20" t="s">
        <v>81</v>
      </c>
      <c r="G25" s="20" t="s">
        <v>114</v>
      </c>
      <c r="H25" s="21" t="s">
        <v>117</v>
      </c>
      <c r="I25" s="21" t="s">
        <v>227</v>
      </c>
      <c r="J25" s="21" t="s">
        <v>117</v>
      </c>
      <c r="K25" s="21" t="s">
        <v>228</v>
      </c>
      <c r="L25" s="22"/>
      <c r="M25" s="23" t="s">
        <v>39</v>
      </c>
      <c r="N25" s="22"/>
      <c r="O25" s="24"/>
      <c r="P25" s="22"/>
      <c r="Q25" s="22"/>
    </row>
    <row r="26" customFormat="false" ht="48" hidden="false" customHeight="true" outlineLevel="0" collapsed="false">
      <c r="A26" s="20" t="s">
        <v>229</v>
      </c>
      <c r="B26" s="21" t="s">
        <v>43</v>
      </c>
      <c r="C26" s="21" t="s">
        <v>210</v>
      </c>
      <c r="D26" s="21" t="s">
        <v>230</v>
      </c>
      <c r="E26" s="21" t="s">
        <v>190</v>
      </c>
      <c r="F26" s="20" t="s">
        <v>80</v>
      </c>
      <c r="G26" s="20" t="s">
        <v>136</v>
      </c>
      <c r="H26" s="21" t="s">
        <v>117</v>
      </c>
      <c r="I26" s="21" t="s">
        <v>231</v>
      </c>
      <c r="J26" s="21" t="s">
        <v>117</v>
      </c>
      <c r="K26" s="21" t="s">
        <v>232</v>
      </c>
      <c r="L26" s="22"/>
      <c r="M26" s="23" t="s">
        <v>39</v>
      </c>
      <c r="N26" s="22"/>
      <c r="O26" s="24"/>
      <c r="P26" s="22"/>
      <c r="Q26" s="22"/>
    </row>
    <row r="27" customFormat="false" ht="61.5" hidden="false" customHeight="true" outlineLevel="0" collapsed="false">
      <c r="A27" s="20" t="s">
        <v>233</v>
      </c>
      <c r="B27" s="21" t="s">
        <v>43</v>
      </c>
      <c r="C27" s="21" t="s">
        <v>210</v>
      </c>
      <c r="D27" s="21" t="s">
        <v>234</v>
      </c>
      <c r="E27" s="21" t="s">
        <v>190</v>
      </c>
      <c r="F27" s="20" t="s">
        <v>80</v>
      </c>
      <c r="G27" s="20" t="s">
        <v>114</v>
      </c>
      <c r="H27" s="21" t="s">
        <v>117</v>
      </c>
      <c r="I27" s="21" t="s">
        <v>235</v>
      </c>
      <c r="J27" s="21" t="s">
        <v>117</v>
      </c>
      <c r="K27" s="21" t="s">
        <v>236</v>
      </c>
      <c r="L27" s="22"/>
      <c r="M27" s="23" t="s">
        <v>39</v>
      </c>
      <c r="N27" s="22"/>
      <c r="O27" s="24"/>
      <c r="P27" s="22"/>
      <c r="Q27" s="22"/>
    </row>
    <row r="28" customFormat="false" ht="33.75" hidden="false" customHeight="true" outlineLevel="0" collapsed="false">
      <c r="A28" s="20" t="s">
        <v>237</v>
      </c>
      <c r="B28" s="21" t="s">
        <v>43</v>
      </c>
      <c r="C28" s="21" t="s">
        <v>210</v>
      </c>
      <c r="D28" s="21" t="s">
        <v>238</v>
      </c>
      <c r="E28" s="21" t="s">
        <v>190</v>
      </c>
      <c r="F28" s="20" t="s">
        <v>81</v>
      </c>
      <c r="G28" s="20" t="s">
        <v>136</v>
      </c>
      <c r="H28" s="21" t="s">
        <v>117</v>
      </c>
      <c r="I28" s="21" t="s">
        <v>239</v>
      </c>
      <c r="J28" s="21" t="s">
        <v>117</v>
      </c>
      <c r="K28" s="21" t="s">
        <v>240</v>
      </c>
      <c r="L28" s="22"/>
      <c r="M28" s="23" t="s">
        <v>39</v>
      </c>
      <c r="N28" s="22"/>
      <c r="O28" s="24"/>
      <c r="P28" s="22"/>
      <c r="Q28" s="22"/>
    </row>
    <row r="29" customFormat="false" ht="33.75" hidden="false" customHeight="true" outlineLevel="0" collapsed="false">
      <c r="A29" s="20" t="s">
        <v>241</v>
      </c>
      <c r="B29" s="21" t="s">
        <v>43</v>
      </c>
      <c r="C29" s="21" t="s">
        <v>210</v>
      </c>
      <c r="D29" s="21" t="s">
        <v>242</v>
      </c>
      <c r="E29" s="21" t="s">
        <v>190</v>
      </c>
      <c r="F29" s="20" t="s">
        <v>80</v>
      </c>
      <c r="G29" s="20" t="s">
        <v>136</v>
      </c>
      <c r="H29" s="21" t="s">
        <v>243</v>
      </c>
      <c r="I29" s="21" t="s">
        <v>244</v>
      </c>
      <c r="J29" s="21" t="s">
        <v>117</v>
      </c>
      <c r="K29" s="21" t="s">
        <v>245</v>
      </c>
      <c r="L29" s="22"/>
      <c r="M29" s="23" t="s">
        <v>39</v>
      </c>
      <c r="N29" s="22"/>
      <c r="O29" s="24"/>
      <c r="P29" s="22"/>
      <c r="Q29" s="22"/>
    </row>
    <row r="30" customFormat="false" ht="48" hidden="false" customHeight="true" outlineLevel="0" collapsed="false">
      <c r="A30" s="20" t="s">
        <v>246</v>
      </c>
      <c r="B30" s="21" t="s">
        <v>43</v>
      </c>
      <c r="C30" s="21" t="s">
        <v>247</v>
      </c>
      <c r="D30" s="21" t="s">
        <v>248</v>
      </c>
      <c r="E30" s="21" t="s">
        <v>178</v>
      </c>
      <c r="F30" s="20" t="s">
        <v>79</v>
      </c>
      <c r="G30" s="20" t="s">
        <v>106</v>
      </c>
      <c r="H30" s="21" t="s">
        <v>243</v>
      </c>
      <c r="I30" s="21" t="s">
        <v>249</v>
      </c>
      <c r="J30" s="21" t="s">
        <v>117</v>
      </c>
      <c r="K30" s="21" t="s">
        <v>250</v>
      </c>
      <c r="L30" s="22"/>
      <c r="M30" s="23" t="s">
        <v>39</v>
      </c>
      <c r="N30" s="22"/>
      <c r="O30" s="24"/>
      <c r="P30" s="22"/>
      <c r="Q30" s="22"/>
    </row>
    <row r="31" customFormat="false" ht="33.75" hidden="false" customHeight="true" outlineLevel="0" collapsed="false">
      <c r="A31" s="20" t="s">
        <v>251</v>
      </c>
      <c r="B31" s="21" t="s">
        <v>43</v>
      </c>
      <c r="C31" s="21" t="s">
        <v>247</v>
      </c>
      <c r="D31" s="21" t="s">
        <v>252</v>
      </c>
      <c r="E31" s="21" t="s">
        <v>178</v>
      </c>
      <c r="F31" s="20" t="s">
        <v>79</v>
      </c>
      <c r="G31" s="20" t="s">
        <v>106</v>
      </c>
      <c r="H31" s="21" t="s">
        <v>253</v>
      </c>
      <c r="I31" s="21" t="s">
        <v>254</v>
      </c>
      <c r="J31" s="21" t="s">
        <v>117</v>
      </c>
      <c r="K31" s="21" t="s">
        <v>255</v>
      </c>
      <c r="L31" s="22"/>
      <c r="M31" s="23" t="s">
        <v>39</v>
      </c>
      <c r="N31" s="22"/>
      <c r="O31" s="24"/>
      <c r="P31" s="22"/>
      <c r="Q31" s="22"/>
    </row>
    <row r="32" customFormat="false" ht="33.75" hidden="false" customHeight="true" outlineLevel="0" collapsed="false">
      <c r="A32" s="20" t="s">
        <v>256</v>
      </c>
      <c r="B32" s="21" t="s">
        <v>43</v>
      </c>
      <c r="C32" s="21" t="s">
        <v>247</v>
      </c>
      <c r="D32" s="21" t="s">
        <v>257</v>
      </c>
      <c r="E32" s="21" t="s">
        <v>190</v>
      </c>
      <c r="F32" s="20" t="s">
        <v>79</v>
      </c>
      <c r="G32" s="20" t="s">
        <v>106</v>
      </c>
      <c r="H32" s="21" t="s">
        <v>258</v>
      </c>
      <c r="I32" s="21" t="s">
        <v>259</v>
      </c>
      <c r="J32" s="21" t="s">
        <v>117</v>
      </c>
      <c r="K32" s="21" t="s">
        <v>260</v>
      </c>
      <c r="L32" s="22"/>
      <c r="M32" s="23" t="s">
        <v>39</v>
      </c>
      <c r="N32" s="22"/>
      <c r="O32" s="24"/>
      <c r="P32" s="22"/>
      <c r="Q32" s="22"/>
    </row>
    <row r="33" customFormat="false" ht="33.75" hidden="false" customHeight="true" outlineLevel="0" collapsed="false">
      <c r="A33" s="20" t="s">
        <v>261</v>
      </c>
      <c r="B33" s="21" t="s">
        <v>43</v>
      </c>
      <c r="C33" s="21" t="s">
        <v>247</v>
      </c>
      <c r="D33" s="21" t="s">
        <v>262</v>
      </c>
      <c r="E33" s="21" t="s">
        <v>178</v>
      </c>
      <c r="F33" s="20" t="s">
        <v>80</v>
      </c>
      <c r="G33" s="20" t="s">
        <v>106</v>
      </c>
      <c r="H33" s="21" t="s">
        <v>263</v>
      </c>
      <c r="I33" s="21" t="s">
        <v>264</v>
      </c>
      <c r="J33" s="21" t="s">
        <v>117</v>
      </c>
      <c r="K33" s="21" t="s">
        <v>265</v>
      </c>
      <c r="L33" s="22"/>
      <c r="M33" s="23" t="s">
        <v>39</v>
      </c>
      <c r="N33" s="22"/>
      <c r="O33" s="24"/>
      <c r="P33" s="22"/>
      <c r="Q33" s="22"/>
    </row>
    <row r="34" customFormat="false" ht="33.75" hidden="false" customHeight="true" outlineLevel="0" collapsed="false">
      <c r="A34" s="20" t="s">
        <v>266</v>
      </c>
      <c r="B34" s="21" t="s">
        <v>43</v>
      </c>
      <c r="C34" s="21" t="s">
        <v>247</v>
      </c>
      <c r="D34" s="21" t="s">
        <v>267</v>
      </c>
      <c r="E34" s="21" t="s">
        <v>178</v>
      </c>
      <c r="F34" s="20" t="s">
        <v>81</v>
      </c>
      <c r="G34" s="20" t="s">
        <v>136</v>
      </c>
      <c r="H34" s="21" t="s">
        <v>268</v>
      </c>
      <c r="I34" s="21" t="s">
        <v>269</v>
      </c>
      <c r="J34" s="21" t="s">
        <v>117</v>
      </c>
      <c r="K34" s="21" t="s">
        <v>270</v>
      </c>
      <c r="L34" s="22"/>
      <c r="M34" s="23" t="s">
        <v>39</v>
      </c>
      <c r="N34" s="22"/>
      <c r="O34" s="24"/>
      <c r="P34" s="22"/>
      <c r="Q34" s="22"/>
    </row>
    <row r="35" customFormat="false" ht="48" hidden="false" customHeight="true" outlineLevel="0" collapsed="false">
      <c r="A35" s="20" t="s">
        <v>271</v>
      </c>
      <c r="B35" s="21" t="s">
        <v>43</v>
      </c>
      <c r="C35" s="21" t="s">
        <v>121</v>
      </c>
      <c r="D35" s="21" t="s">
        <v>272</v>
      </c>
      <c r="E35" s="21" t="s">
        <v>273</v>
      </c>
      <c r="F35" s="20" t="s">
        <v>80</v>
      </c>
      <c r="G35" s="20" t="s">
        <v>121</v>
      </c>
      <c r="H35" s="21" t="s">
        <v>117</v>
      </c>
      <c r="I35" s="21" t="s">
        <v>274</v>
      </c>
      <c r="J35" s="21" t="s">
        <v>117</v>
      </c>
      <c r="K35" s="21" t="s">
        <v>275</v>
      </c>
      <c r="L35" s="22"/>
      <c r="M35" s="23" t="s">
        <v>39</v>
      </c>
      <c r="N35" s="22"/>
      <c r="O35" s="24"/>
      <c r="P35" s="22"/>
      <c r="Q35" s="22"/>
    </row>
    <row r="36" customFormat="false" ht="48" hidden="false" customHeight="true" outlineLevel="0" collapsed="false">
      <c r="A36" s="20" t="s">
        <v>276</v>
      </c>
      <c r="B36" s="21" t="s">
        <v>43</v>
      </c>
      <c r="C36" s="21" t="s">
        <v>121</v>
      </c>
      <c r="D36" s="21" t="s">
        <v>277</v>
      </c>
      <c r="E36" s="21" t="s">
        <v>178</v>
      </c>
      <c r="F36" s="20" t="s">
        <v>81</v>
      </c>
      <c r="G36" s="20" t="s">
        <v>121</v>
      </c>
      <c r="H36" s="21" t="s">
        <v>117</v>
      </c>
      <c r="I36" s="21" t="s">
        <v>278</v>
      </c>
      <c r="J36" s="21" t="s">
        <v>117</v>
      </c>
      <c r="K36" s="21" t="s">
        <v>279</v>
      </c>
      <c r="L36" s="22"/>
      <c r="M36" s="23" t="s">
        <v>39</v>
      </c>
      <c r="N36" s="22"/>
      <c r="O36" s="24"/>
      <c r="P36" s="22"/>
      <c r="Q36" s="22"/>
    </row>
    <row r="37" customFormat="false" ht="33.75" hidden="false" customHeight="true" outlineLevel="0" collapsed="false">
      <c r="A37" s="20" t="s">
        <v>280</v>
      </c>
      <c r="B37" s="21" t="s">
        <v>43</v>
      </c>
      <c r="C37" s="21" t="s">
        <v>121</v>
      </c>
      <c r="D37" s="21" t="s">
        <v>281</v>
      </c>
      <c r="E37" s="21" t="s">
        <v>190</v>
      </c>
      <c r="F37" s="20" t="s">
        <v>80</v>
      </c>
      <c r="G37" s="20" t="s">
        <v>121</v>
      </c>
      <c r="H37" s="21" t="s">
        <v>282</v>
      </c>
      <c r="I37" s="21" t="s">
        <v>283</v>
      </c>
      <c r="J37" s="21" t="s">
        <v>117</v>
      </c>
      <c r="K37" s="21" t="s">
        <v>284</v>
      </c>
      <c r="L37" s="22"/>
      <c r="M37" s="23" t="s">
        <v>39</v>
      </c>
      <c r="N37" s="22"/>
      <c r="O37" s="24"/>
      <c r="P37" s="22"/>
      <c r="Q37" s="22"/>
    </row>
    <row r="38" customFormat="false" ht="75.75" hidden="false" customHeight="true" outlineLevel="0" collapsed="false">
      <c r="A38" s="20" t="s">
        <v>285</v>
      </c>
      <c r="B38" s="21" t="s">
        <v>44</v>
      </c>
      <c r="C38" s="21" t="s">
        <v>286</v>
      </c>
      <c r="D38" s="21" t="s">
        <v>287</v>
      </c>
      <c r="E38" s="21" t="s">
        <v>178</v>
      </c>
      <c r="F38" s="20" t="s">
        <v>79</v>
      </c>
      <c r="G38" s="20" t="s">
        <v>106</v>
      </c>
      <c r="H38" s="21" t="s">
        <v>117</v>
      </c>
      <c r="I38" s="21" t="s">
        <v>288</v>
      </c>
      <c r="J38" s="21" t="s">
        <v>289</v>
      </c>
      <c r="K38" s="21" t="s">
        <v>290</v>
      </c>
      <c r="L38" s="22"/>
      <c r="M38" s="23" t="s">
        <v>39</v>
      </c>
      <c r="N38" s="22"/>
      <c r="O38" s="24"/>
      <c r="P38" s="22"/>
      <c r="Q38" s="22"/>
    </row>
    <row r="39" customFormat="false" ht="33.75" hidden="false" customHeight="true" outlineLevel="0" collapsed="false">
      <c r="A39" s="20" t="s">
        <v>291</v>
      </c>
      <c r="B39" s="21" t="s">
        <v>44</v>
      </c>
      <c r="C39" s="21" t="s">
        <v>286</v>
      </c>
      <c r="D39" s="21" t="s">
        <v>292</v>
      </c>
      <c r="E39" s="21" t="s">
        <v>178</v>
      </c>
      <c r="F39" s="20" t="s">
        <v>80</v>
      </c>
      <c r="G39" s="20" t="s">
        <v>136</v>
      </c>
      <c r="H39" s="21" t="s">
        <v>117</v>
      </c>
      <c r="I39" s="21" t="s">
        <v>293</v>
      </c>
      <c r="J39" s="21" t="s">
        <v>117</v>
      </c>
      <c r="K39" s="21" t="s">
        <v>294</v>
      </c>
      <c r="L39" s="22"/>
      <c r="M39" s="23" t="s">
        <v>39</v>
      </c>
      <c r="N39" s="22"/>
      <c r="O39" s="24"/>
      <c r="P39" s="22"/>
      <c r="Q39" s="22"/>
    </row>
    <row r="40" customFormat="false" ht="33.75" hidden="false" customHeight="true" outlineLevel="0" collapsed="false">
      <c r="A40" s="20" t="s">
        <v>295</v>
      </c>
      <c r="B40" s="21" t="s">
        <v>44</v>
      </c>
      <c r="C40" s="21" t="s">
        <v>286</v>
      </c>
      <c r="D40" s="21" t="s">
        <v>296</v>
      </c>
      <c r="E40" s="21" t="s">
        <v>178</v>
      </c>
      <c r="F40" s="20" t="s">
        <v>80</v>
      </c>
      <c r="G40" s="20" t="s">
        <v>136</v>
      </c>
      <c r="H40" s="21" t="s">
        <v>117</v>
      </c>
      <c r="I40" s="21" t="s">
        <v>297</v>
      </c>
      <c r="J40" s="21" t="s">
        <v>117</v>
      </c>
      <c r="K40" s="21" t="s">
        <v>298</v>
      </c>
      <c r="L40" s="22"/>
      <c r="M40" s="23" t="s">
        <v>39</v>
      </c>
      <c r="N40" s="22"/>
      <c r="O40" s="24"/>
      <c r="P40" s="22"/>
      <c r="Q40" s="22"/>
    </row>
    <row r="41" customFormat="false" ht="33.75" hidden="false" customHeight="true" outlineLevel="0" collapsed="false">
      <c r="A41" s="20" t="s">
        <v>299</v>
      </c>
      <c r="B41" s="21" t="s">
        <v>44</v>
      </c>
      <c r="C41" s="21" t="s">
        <v>286</v>
      </c>
      <c r="D41" s="21" t="s">
        <v>300</v>
      </c>
      <c r="E41" s="21" t="s">
        <v>178</v>
      </c>
      <c r="F41" s="20" t="s">
        <v>80</v>
      </c>
      <c r="G41" s="20" t="s">
        <v>114</v>
      </c>
      <c r="H41" s="21" t="s">
        <v>117</v>
      </c>
      <c r="I41" s="21" t="s">
        <v>301</v>
      </c>
      <c r="J41" s="21" t="s">
        <v>117</v>
      </c>
      <c r="K41" s="21" t="s">
        <v>302</v>
      </c>
      <c r="L41" s="22"/>
      <c r="M41" s="23" t="s">
        <v>39</v>
      </c>
      <c r="N41" s="22"/>
      <c r="O41" s="24"/>
      <c r="P41" s="22"/>
      <c r="Q41" s="22"/>
    </row>
    <row r="42" customFormat="false" ht="48" hidden="false" customHeight="true" outlineLevel="0" collapsed="false">
      <c r="A42" s="20" t="s">
        <v>303</v>
      </c>
      <c r="B42" s="21" t="s">
        <v>44</v>
      </c>
      <c r="C42" s="21" t="s">
        <v>286</v>
      </c>
      <c r="D42" s="21" t="s">
        <v>304</v>
      </c>
      <c r="E42" s="21" t="s">
        <v>178</v>
      </c>
      <c r="F42" s="20" t="s">
        <v>81</v>
      </c>
      <c r="G42" s="20" t="s">
        <v>114</v>
      </c>
      <c r="H42" s="21" t="s">
        <v>117</v>
      </c>
      <c r="I42" s="21" t="s">
        <v>305</v>
      </c>
      <c r="J42" s="21" t="s">
        <v>117</v>
      </c>
      <c r="K42" s="21" t="s">
        <v>306</v>
      </c>
      <c r="L42" s="22"/>
      <c r="M42" s="23" t="s">
        <v>39</v>
      </c>
      <c r="N42" s="22"/>
      <c r="O42" s="24"/>
      <c r="P42" s="22"/>
      <c r="Q42" s="22"/>
    </row>
    <row r="43" customFormat="false" ht="33.75" hidden="false" customHeight="true" outlineLevel="0" collapsed="false">
      <c r="A43" s="20" t="s">
        <v>307</v>
      </c>
      <c r="B43" s="21" t="s">
        <v>44</v>
      </c>
      <c r="C43" s="21" t="s">
        <v>286</v>
      </c>
      <c r="D43" s="21" t="s">
        <v>308</v>
      </c>
      <c r="E43" s="21" t="s">
        <v>178</v>
      </c>
      <c r="F43" s="20" t="s">
        <v>79</v>
      </c>
      <c r="G43" s="20" t="s">
        <v>136</v>
      </c>
      <c r="H43" s="21" t="s">
        <v>117</v>
      </c>
      <c r="I43" s="21" t="s">
        <v>309</v>
      </c>
      <c r="J43" s="21" t="s">
        <v>117</v>
      </c>
      <c r="K43" s="21" t="s">
        <v>310</v>
      </c>
      <c r="L43" s="22"/>
      <c r="M43" s="23" t="s">
        <v>39</v>
      </c>
      <c r="N43" s="22"/>
      <c r="O43" s="24"/>
      <c r="P43" s="22"/>
      <c r="Q43" s="22"/>
    </row>
    <row r="44" customFormat="false" ht="33.75" hidden="false" customHeight="true" outlineLevel="0" collapsed="false">
      <c r="A44" s="20" t="s">
        <v>311</v>
      </c>
      <c r="B44" s="21" t="s">
        <v>44</v>
      </c>
      <c r="C44" s="21" t="s">
        <v>286</v>
      </c>
      <c r="D44" s="21" t="s">
        <v>312</v>
      </c>
      <c r="E44" s="21" t="s">
        <v>178</v>
      </c>
      <c r="F44" s="20" t="s">
        <v>81</v>
      </c>
      <c r="G44" s="20" t="s">
        <v>106</v>
      </c>
      <c r="H44" s="21" t="s">
        <v>117</v>
      </c>
      <c r="I44" s="21" t="s">
        <v>313</v>
      </c>
      <c r="J44" s="21" t="s">
        <v>117</v>
      </c>
      <c r="K44" s="21" t="s">
        <v>314</v>
      </c>
      <c r="L44" s="22"/>
      <c r="M44" s="23" t="s">
        <v>39</v>
      </c>
      <c r="N44" s="22"/>
      <c r="O44" s="24"/>
      <c r="P44" s="22"/>
      <c r="Q44" s="22"/>
    </row>
    <row r="45" customFormat="false" ht="48" hidden="false" customHeight="true" outlineLevel="0" collapsed="false">
      <c r="A45" s="20" t="s">
        <v>315</v>
      </c>
      <c r="B45" s="21" t="s">
        <v>44</v>
      </c>
      <c r="C45" s="21" t="s">
        <v>286</v>
      </c>
      <c r="D45" s="21" t="s">
        <v>316</v>
      </c>
      <c r="E45" s="21" t="s">
        <v>178</v>
      </c>
      <c r="F45" s="20" t="s">
        <v>81</v>
      </c>
      <c r="G45" s="20" t="s">
        <v>136</v>
      </c>
      <c r="H45" s="21" t="s">
        <v>117</v>
      </c>
      <c r="I45" s="21" t="s">
        <v>317</v>
      </c>
      <c r="J45" s="21" t="s">
        <v>117</v>
      </c>
      <c r="K45" s="21" t="s">
        <v>318</v>
      </c>
      <c r="L45" s="22"/>
      <c r="M45" s="23" t="s">
        <v>39</v>
      </c>
      <c r="N45" s="22"/>
      <c r="O45" s="24"/>
      <c r="P45" s="22"/>
      <c r="Q45" s="22"/>
    </row>
    <row r="46" customFormat="false" ht="48" hidden="false" customHeight="true" outlineLevel="0" collapsed="false">
      <c r="A46" s="20" t="s">
        <v>319</v>
      </c>
      <c r="B46" s="21" t="s">
        <v>44</v>
      </c>
      <c r="C46" s="21" t="s">
        <v>286</v>
      </c>
      <c r="D46" s="21" t="s">
        <v>320</v>
      </c>
      <c r="E46" s="21" t="s">
        <v>178</v>
      </c>
      <c r="F46" s="20" t="s">
        <v>81</v>
      </c>
      <c r="G46" s="20" t="s">
        <v>136</v>
      </c>
      <c r="H46" s="21" t="s">
        <v>321</v>
      </c>
      <c r="I46" s="21" t="s">
        <v>322</v>
      </c>
      <c r="J46" s="21" t="s">
        <v>117</v>
      </c>
      <c r="K46" s="21" t="s">
        <v>323</v>
      </c>
      <c r="L46" s="22"/>
      <c r="M46" s="23" t="s">
        <v>39</v>
      </c>
      <c r="N46" s="22"/>
      <c r="O46" s="24"/>
      <c r="P46" s="22"/>
      <c r="Q46" s="22"/>
    </row>
    <row r="47" customFormat="false" ht="33.75" hidden="false" customHeight="true" outlineLevel="0" collapsed="false">
      <c r="A47" s="20" t="s">
        <v>324</v>
      </c>
      <c r="B47" s="21" t="s">
        <v>44</v>
      </c>
      <c r="C47" s="21" t="s">
        <v>286</v>
      </c>
      <c r="D47" s="21" t="s">
        <v>325</v>
      </c>
      <c r="E47" s="21" t="s">
        <v>178</v>
      </c>
      <c r="F47" s="20" t="s">
        <v>81</v>
      </c>
      <c r="G47" s="20" t="s">
        <v>114</v>
      </c>
      <c r="H47" s="21" t="s">
        <v>117</v>
      </c>
      <c r="I47" s="21" t="s">
        <v>326</v>
      </c>
      <c r="J47" s="21" t="s">
        <v>117</v>
      </c>
      <c r="K47" s="21" t="s">
        <v>327</v>
      </c>
      <c r="L47" s="22"/>
      <c r="M47" s="23" t="s">
        <v>39</v>
      </c>
      <c r="N47" s="22"/>
      <c r="O47" s="24"/>
      <c r="P47" s="22"/>
      <c r="Q47" s="22"/>
    </row>
    <row r="48" customFormat="false" ht="48" hidden="false" customHeight="true" outlineLevel="0" collapsed="false">
      <c r="A48" s="20" t="s">
        <v>328</v>
      </c>
      <c r="B48" s="21" t="s">
        <v>44</v>
      </c>
      <c r="C48" s="21" t="s">
        <v>329</v>
      </c>
      <c r="D48" s="21" t="s">
        <v>330</v>
      </c>
      <c r="E48" s="21" t="s">
        <v>178</v>
      </c>
      <c r="F48" s="20" t="s">
        <v>80</v>
      </c>
      <c r="G48" s="20" t="s">
        <v>106</v>
      </c>
      <c r="H48" s="21" t="s">
        <v>117</v>
      </c>
      <c r="I48" s="21" t="s">
        <v>331</v>
      </c>
      <c r="J48" s="21" t="s">
        <v>117</v>
      </c>
      <c r="K48" s="21" t="s">
        <v>332</v>
      </c>
      <c r="L48" s="22"/>
      <c r="M48" s="23" t="s">
        <v>39</v>
      </c>
      <c r="N48" s="22"/>
      <c r="O48" s="24"/>
      <c r="P48" s="22"/>
      <c r="Q48" s="22"/>
    </row>
    <row r="49" customFormat="false" ht="33.75" hidden="false" customHeight="true" outlineLevel="0" collapsed="false">
      <c r="A49" s="20" t="s">
        <v>333</v>
      </c>
      <c r="B49" s="21" t="s">
        <v>44</v>
      </c>
      <c r="C49" s="21" t="s">
        <v>334</v>
      </c>
      <c r="D49" s="21" t="s">
        <v>335</v>
      </c>
      <c r="E49" s="21" t="s">
        <v>178</v>
      </c>
      <c r="F49" s="20" t="s">
        <v>80</v>
      </c>
      <c r="G49" s="20" t="s">
        <v>106</v>
      </c>
      <c r="H49" s="21" t="s">
        <v>336</v>
      </c>
      <c r="I49" s="21" t="s">
        <v>337</v>
      </c>
      <c r="J49" s="21" t="s">
        <v>117</v>
      </c>
      <c r="K49" s="21" t="s">
        <v>338</v>
      </c>
      <c r="L49" s="22"/>
      <c r="M49" s="23" t="s">
        <v>39</v>
      </c>
      <c r="N49" s="22"/>
      <c r="O49" s="24"/>
      <c r="P49" s="22"/>
      <c r="Q49" s="22"/>
    </row>
    <row r="50" customFormat="false" ht="48" hidden="false" customHeight="true" outlineLevel="0" collapsed="false">
      <c r="A50" s="20" t="s">
        <v>339</v>
      </c>
      <c r="B50" s="21" t="s">
        <v>44</v>
      </c>
      <c r="C50" s="21" t="s">
        <v>334</v>
      </c>
      <c r="D50" s="21" t="s">
        <v>340</v>
      </c>
      <c r="E50" s="21" t="s">
        <v>178</v>
      </c>
      <c r="F50" s="20" t="s">
        <v>79</v>
      </c>
      <c r="G50" s="20" t="s">
        <v>121</v>
      </c>
      <c r="H50" s="21" t="s">
        <v>341</v>
      </c>
      <c r="I50" s="21" t="s">
        <v>342</v>
      </c>
      <c r="J50" s="21" t="s">
        <v>117</v>
      </c>
      <c r="K50" s="21" t="s">
        <v>343</v>
      </c>
      <c r="L50" s="22"/>
      <c r="M50" s="23" t="s">
        <v>39</v>
      </c>
      <c r="N50" s="22"/>
      <c r="O50" s="24"/>
      <c r="P50" s="22"/>
      <c r="Q50" s="22"/>
    </row>
    <row r="51" customFormat="false" ht="33.75" hidden="false" customHeight="true" outlineLevel="0" collapsed="false">
      <c r="A51" s="20" t="s">
        <v>344</v>
      </c>
      <c r="B51" s="21" t="s">
        <v>44</v>
      </c>
      <c r="C51" s="21" t="s">
        <v>334</v>
      </c>
      <c r="D51" s="21" t="s">
        <v>345</v>
      </c>
      <c r="E51" s="21" t="s">
        <v>178</v>
      </c>
      <c r="F51" s="20" t="s">
        <v>79</v>
      </c>
      <c r="G51" s="20" t="s">
        <v>121</v>
      </c>
      <c r="H51" s="21" t="s">
        <v>346</v>
      </c>
      <c r="I51" s="21" t="s">
        <v>347</v>
      </c>
      <c r="J51" s="21" t="s">
        <v>117</v>
      </c>
      <c r="K51" s="21" t="s">
        <v>348</v>
      </c>
      <c r="L51" s="22"/>
      <c r="M51" s="23" t="s">
        <v>39</v>
      </c>
      <c r="N51" s="22"/>
      <c r="O51" s="24"/>
      <c r="P51" s="22"/>
      <c r="Q51" s="22"/>
    </row>
    <row r="52" customFormat="false" ht="33.75" hidden="false" customHeight="true" outlineLevel="0" collapsed="false">
      <c r="A52" s="20" t="s">
        <v>349</v>
      </c>
      <c r="B52" s="21" t="s">
        <v>44</v>
      </c>
      <c r="C52" s="21" t="s">
        <v>350</v>
      </c>
      <c r="D52" s="21" t="s">
        <v>351</v>
      </c>
      <c r="E52" s="21" t="s">
        <v>178</v>
      </c>
      <c r="F52" s="20" t="s">
        <v>79</v>
      </c>
      <c r="G52" s="20" t="s">
        <v>121</v>
      </c>
      <c r="H52" s="21" t="s">
        <v>352</v>
      </c>
      <c r="I52" s="21" t="s">
        <v>353</v>
      </c>
      <c r="J52" s="21" t="s">
        <v>117</v>
      </c>
      <c r="K52" s="21" t="s">
        <v>354</v>
      </c>
      <c r="L52" s="22"/>
      <c r="M52" s="23" t="s">
        <v>39</v>
      </c>
      <c r="N52" s="22"/>
      <c r="O52" s="24"/>
      <c r="P52" s="22"/>
      <c r="Q52" s="22"/>
    </row>
    <row r="53" customFormat="false" ht="33.75" hidden="false" customHeight="true" outlineLevel="0" collapsed="false">
      <c r="A53" s="20" t="s">
        <v>355</v>
      </c>
      <c r="B53" s="21" t="s">
        <v>44</v>
      </c>
      <c r="C53" s="21" t="s">
        <v>121</v>
      </c>
      <c r="D53" s="21" t="s">
        <v>356</v>
      </c>
      <c r="E53" s="21" t="s">
        <v>357</v>
      </c>
      <c r="F53" s="20" t="s">
        <v>79</v>
      </c>
      <c r="G53" s="20" t="s">
        <v>121</v>
      </c>
      <c r="H53" s="21" t="s">
        <v>117</v>
      </c>
      <c r="I53" s="21" t="s">
        <v>358</v>
      </c>
      <c r="J53" s="21" t="s">
        <v>117</v>
      </c>
      <c r="K53" s="21" t="s">
        <v>359</v>
      </c>
      <c r="L53" s="22"/>
      <c r="M53" s="23" t="s">
        <v>39</v>
      </c>
      <c r="N53" s="22"/>
      <c r="O53" s="24"/>
      <c r="P53" s="22"/>
      <c r="Q53" s="22"/>
    </row>
    <row r="54" customFormat="false" ht="48" hidden="false" customHeight="true" outlineLevel="0" collapsed="false">
      <c r="A54" s="20" t="s">
        <v>360</v>
      </c>
      <c r="B54" s="21" t="s">
        <v>44</v>
      </c>
      <c r="C54" s="21" t="s">
        <v>361</v>
      </c>
      <c r="D54" s="21" t="s">
        <v>362</v>
      </c>
      <c r="E54" s="21" t="s">
        <v>178</v>
      </c>
      <c r="F54" s="20" t="s">
        <v>81</v>
      </c>
      <c r="G54" s="20" t="s">
        <v>136</v>
      </c>
      <c r="H54" s="21" t="s">
        <v>363</v>
      </c>
      <c r="I54" s="21" t="s">
        <v>364</v>
      </c>
      <c r="J54" s="21" t="s">
        <v>117</v>
      </c>
      <c r="K54" s="21" t="s">
        <v>365</v>
      </c>
      <c r="L54" s="22"/>
      <c r="M54" s="23" t="s">
        <v>39</v>
      </c>
      <c r="N54" s="22"/>
      <c r="O54" s="24"/>
      <c r="P54" s="22"/>
      <c r="Q54" s="22"/>
    </row>
    <row r="55" customFormat="false" ht="48" hidden="false" customHeight="true" outlineLevel="0" collapsed="false">
      <c r="A55" s="20" t="s">
        <v>366</v>
      </c>
      <c r="B55" s="21" t="s">
        <v>44</v>
      </c>
      <c r="C55" s="21" t="s">
        <v>367</v>
      </c>
      <c r="D55" s="21" t="s">
        <v>368</v>
      </c>
      <c r="E55" s="21" t="s">
        <v>178</v>
      </c>
      <c r="F55" s="20" t="s">
        <v>80</v>
      </c>
      <c r="G55" s="20" t="s">
        <v>106</v>
      </c>
      <c r="H55" s="21" t="s">
        <v>369</v>
      </c>
      <c r="I55" s="21" t="s">
        <v>370</v>
      </c>
      <c r="J55" s="21" t="s">
        <v>117</v>
      </c>
      <c r="K55" s="21" t="s">
        <v>371</v>
      </c>
      <c r="L55" s="22"/>
      <c r="M55" s="23" t="s">
        <v>39</v>
      </c>
      <c r="N55" s="22"/>
      <c r="O55" s="24"/>
      <c r="P55" s="22"/>
      <c r="Q55" s="22"/>
    </row>
    <row r="56" customFormat="false" ht="33.75" hidden="false" customHeight="true" outlineLevel="0" collapsed="false">
      <c r="A56" s="20" t="s">
        <v>372</v>
      </c>
      <c r="B56" s="21" t="s">
        <v>44</v>
      </c>
      <c r="C56" s="21" t="s">
        <v>373</v>
      </c>
      <c r="D56" s="21" t="s">
        <v>374</v>
      </c>
      <c r="E56" s="21" t="s">
        <v>178</v>
      </c>
      <c r="F56" s="20" t="s">
        <v>80</v>
      </c>
      <c r="G56" s="20" t="s">
        <v>106</v>
      </c>
      <c r="H56" s="21" t="s">
        <v>375</v>
      </c>
      <c r="I56" s="21" t="s">
        <v>376</v>
      </c>
      <c r="J56" s="21" t="s">
        <v>117</v>
      </c>
      <c r="K56" s="21" t="s">
        <v>377</v>
      </c>
      <c r="L56" s="22"/>
      <c r="M56" s="23" t="s">
        <v>39</v>
      </c>
      <c r="N56" s="22"/>
      <c r="O56" s="24"/>
      <c r="P56" s="22"/>
      <c r="Q56" s="22"/>
    </row>
    <row r="57" customFormat="false" ht="33.75" hidden="false" customHeight="true" outlineLevel="0" collapsed="false">
      <c r="A57" s="20" t="s">
        <v>378</v>
      </c>
      <c r="B57" s="21" t="s">
        <v>44</v>
      </c>
      <c r="C57" s="21" t="s">
        <v>373</v>
      </c>
      <c r="D57" s="21" t="s">
        <v>379</v>
      </c>
      <c r="E57" s="21" t="s">
        <v>178</v>
      </c>
      <c r="F57" s="20" t="s">
        <v>81</v>
      </c>
      <c r="G57" s="20" t="s">
        <v>136</v>
      </c>
      <c r="H57" s="21" t="s">
        <v>380</v>
      </c>
      <c r="I57" s="21" t="s">
        <v>381</v>
      </c>
      <c r="J57" s="21" t="s">
        <v>117</v>
      </c>
      <c r="K57" s="21" t="s">
        <v>382</v>
      </c>
      <c r="L57" s="22"/>
      <c r="M57" s="23" t="s">
        <v>39</v>
      </c>
      <c r="N57" s="22"/>
      <c r="O57" s="24"/>
      <c r="P57" s="22"/>
      <c r="Q57" s="22"/>
    </row>
    <row r="58" customFormat="false" ht="33.75" hidden="false" customHeight="true" outlineLevel="0" collapsed="false">
      <c r="A58" s="20" t="s">
        <v>383</v>
      </c>
      <c r="B58" s="21" t="s">
        <v>44</v>
      </c>
      <c r="C58" s="21" t="s">
        <v>384</v>
      </c>
      <c r="D58" s="21" t="s">
        <v>385</v>
      </c>
      <c r="E58" s="21" t="s">
        <v>190</v>
      </c>
      <c r="F58" s="20" t="s">
        <v>79</v>
      </c>
      <c r="G58" s="20" t="s">
        <v>106</v>
      </c>
      <c r="H58" s="21" t="s">
        <v>386</v>
      </c>
      <c r="I58" s="21" t="s">
        <v>387</v>
      </c>
      <c r="J58" s="21" t="s">
        <v>117</v>
      </c>
      <c r="K58" s="21" t="s">
        <v>388</v>
      </c>
      <c r="L58" s="22"/>
      <c r="M58" s="23" t="s">
        <v>39</v>
      </c>
      <c r="N58" s="22"/>
      <c r="O58" s="24"/>
      <c r="P58" s="22"/>
      <c r="Q58" s="22"/>
    </row>
    <row r="59" customFormat="false" ht="33.75" hidden="false" customHeight="true" outlineLevel="0" collapsed="false">
      <c r="A59" s="20" t="s">
        <v>389</v>
      </c>
      <c r="B59" s="21" t="s">
        <v>44</v>
      </c>
      <c r="C59" s="21" t="s">
        <v>384</v>
      </c>
      <c r="D59" s="21" t="s">
        <v>390</v>
      </c>
      <c r="E59" s="21" t="s">
        <v>190</v>
      </c>
      <c r="F59" s="20" t="s">
        <v>81</v>
      </c>
      <c r="G59" s="20" t="s">
        <v>106</v>
      </c>
      <c r="H59" s="21" t="s">
        <v>391</v>
      </c>
      <c r="I59" s="21" t="s">
        <v>392</v>
      </c>
      <c r="J59" s="21" t="s">
        <v>117</v>
      </c>
      <c r="K59" s="21" t="s">
        <v>393</v>
      </c>
      <c r="L59" s="22"/>
      <c r="M59" s="23" t="s">
        <v>39</v>
      </c>
      <c r="N59" s="22"/>
      <c r="O59" s="24"/>
      <c r="P59" s="22"/>
      <c r="Q59" s="22"/>
    </row>
    <row r="60" customFormat="false" ht="33.75" hidden="false" customHeight="true" outlineLevel="0" collapsed="false">
      <c r="A60" s="20" t="s">
        <v>394</v>
      </c>
      <c r="B60" s="21" t="s">
        <v>44</v>
      </c>
      <c r="C60" s="21" t="s">
        <v>395</v>
      </c>
      <c r="D60" s="21" t="s">
        <v>396</v>
      </c>
      <c r="E60" s="21" t="s">
        <v>178</v>
      </c>
      <c r="F60" s="20" t="s">
        <v>81</v>
      </c>
      <c r="G60" s="20" t="s">
        <v>136</v>
      </c>
      <c r="H60" s="21" t="s">
        <v>397</v>
      </c>
      <c r="I60" s="21" t="s">
        <v>398</v>
      </c>
      <c r="J60" s="21" t="s">
        <v>117</v>
      </c>
      <c r="K60" s="21" t="s">
        <v>399</v>
      </c>
      <c r="L60" s="22"/>
      <c r="M60" s="23" t="s">
        <v>39</v>
      </c>
      <c r="N60" s="22"/>
      <c r="O60" s="24"/>
      <c r="P60" s="22"/>
      <c r="Q60" s="22"/>
    </row>
    <row r="61" customFormat="false" ht="33.75" hidden="false" customHeight="true" outlineLevel="0" collapsed="false">
      <c r="A61" s="20" t="s">
        <v>400</v>
      </c>
      <c r="B61" s="21" t="s">
        <v>44</v>
      </c>
      <c r="C61" s="21" t="s">
        <v>401</v>
      </c>
      <c r="D61" s="21" t="s">
        <v>402</v>
      </c>
      <c r="E61" s="21" t="s">
        <v>190</v>
      </c>
      <c r="F61" s="20" t="s">
        <v>80</v>
      </c>
      <c r="G61" s="20" t="s">
        <v>121</v>
      </c>
      <c r="H61" s="21" t="s">
        <v>403</v>
      </c>
      <c r="I61" s="21" t="s">
        <v>404</v>
      </c>
      <c r="J61" s="21" t="s">
        <v>117</v>
      </c>
      <c r="K61" s="21" t="s">
        <v>405</v>
      </c>
      <c r="L61" s="22"/>
      <c r="M61" s="23" t="s">
        <v>39</v>
      </c>
      <c r="N61" s="22"/>
      <c r="O61" s="24"/>
      <c r="P61" s="22"/>
      <c r="Q61" s="22"/>
    </row>
    <row r="62" customFormat="false" ht="33.75" hidden="false" customHeight="true" outlineLevel="0" collapsed="false">
      <c r="A62" s="20" t="s">
        <v>406</v>
      </c>
      <c r="B62" s="21" t="s">
        <v>44</v>
      </c>
      <c r="C62" s="21" t="s">
        <v>401</v>
      </c>
      <c r="D62" s="21" t="s">
        <v>407</v>
      </c>
      <c r="E62" s="21" t="s">
        <v>190</v>
      </c>
      <c r="F62" s="20" t="s">
        <v>79</v>
      </c>
      <c r="G62" s="20" t="s">
        <v>121</v>
      </c>
      <c r="H62" s="21" t="s">
        <v>243</v>
      </c>
      <c r="I62" s="21" t="s">
        <v>408</v>
      </c>
      <c r="J62" s="21" t="s">
        <v>117</v>
      </c>
      <c r="K62" s="21" t="s">
        <v>409</v>
      </c>
      <c r="L62" s="22"/>
      <c r="M62" s="23" t="s">
        <v>39</v>
      </c>
      <c r="N62" s="22"/>
      <c r="O62" s="24"/>
      <c r="P62" s="22"/>
      <c r="Q62" s="22"/>
    </row>
    <row r="63" customFormat="false" ht="33.75" hidden="false" customHeight="true" outlineLevel="0" collapsed="false">
      <c r="A63" s="20" t="s">
        <v>410</v>
      </c>
      <c r="B63" s="21" t="s">
        <v>44</v>
      </c>
      <c r="C63" s="21" t="s">
        <v>401</v>
      </c>
      <c r="D63" s="21" t="s">
        <v>411</v>
      </c>
      <c r="E63" s="21" t="s">
        <v>190</v>
      </c>
      <c r="F63" s="20" t="s">
        <v>79</v>
      </c>
      <c r="G63" s="20" t="s">
        <v>121</v>
      </c>
      <c r="H63" s="21" t="s">
        <v>412</v>
      </c>
      <c r="I63" s="21" t="s">
        <v>413</v>
      </c>
      <c r="J63" s="21" t="s">
        <v>117</v>
      </c>
      <c r="K63" s="21" t="s">
        <v>414</v>
      </c>
      <c r="L63" s="22"/>
      <c r="M63" s="23" t="s">
        <v>39</v>
      </c>
      <c r="N63" s="22"/>
      <c r="O63" s="24"/>
      <c r="P63" s="22"/>
      <c r="Q63" s="22"/>
    </row>
    <row r="64" customFormat="false" ht="33.75" hidden="false" customHeight="true" outlineLevel="0" collapsed="false">
      <c r="A64" s="20" t="s">
        <v>415</v>
      </c>
      <c r="B64" s="21" t="s">
        <v>44</v>
      </c>
      <c r="C64" s="21" t="s">
        <v>416</v>
      </c>
      <c r="D64" s="21" t="s">
        <v>417</v>
      </c>
      <c r="E64" s="21" t="s">
        <v>178</v>
      </c>
      <c r="F64" s="20" t="s">
        <v>80</v>
      </c>
      <c r="G64" s="20" t="s">
        <v>106</v>
      </c>
      <c r="H64" s="21" t="s">
        <v>418</v>
      </c>
      <c r="I64" s="21" t="s">
        <v>419</v>
      </c>
      <c r="J64" s="21" t="s">
        <v>117</v>
      </c>
      <c r="K64" s="21" t="s">
        <v>420</v>
      </c>
      <c r="L64" s="22"/>
      <c r="M64" s="23" t="s">
        <v>39</v>
      </c>
      <c r="N64" s="22"/>
      <c r="O64" s="24"/>
      <c r="P64" s="22"/>
      <c r="Q64" s="22"/>
    </row>
    <row r="65" customFormat="false" ht="33.75" hidden="false" customHeight="true" outlineLevel="0" collapsed="false">
      <c r="A65" s="20" t="s">
        <v>421</v>
      </c>
      <c r="B65" s="21" t="s">
        <v>44</v>
      </c>
      <c r="C65" s="21" t="s">
        <v>416</v>
      </c>
      <c r="D65" s="21" t="s">
        <v>422</v>
      </c>
      <c r="E65" s="21" t="s">
        <v>178</v>
      </c>
      <c r="F65" s="20" t="s">
        <v>81</v>
      </c>
      <c r="G65" s="20" t="s">
        <v>136</v>
      </c>
      <c r="H65" s="21" t="s">
        <v>423</v>
      </c>
      <c r="I65" s="21" t="s">
        <v>424</v>
      </c>
      <c r="J65" s="21" t="s">
        <v>117</v>
      </c>
      <c r="K65" s="21" t="s">
        <v>425</v>
      </c>
      <c r="L65" s="22"/>
      <c r="M65" s="23" t="s">
        <v>39</v>
      </c>
      <c r="N65" s="22"/>
      <c r="O65" s="24"/>
      <c r="P65" s="22"/>
      <c r="Q65" s="22"/>
    </row>
    <row r="66" customFormat="false" ht="33.75" hidden="false" customHeight="true" outlineLevel="0" collapsed="false">
      <c r="A66" s="20" t="s">
        <v>426</v>
      </c>
      <c r="B66" s="21" t="s">
        <v>44</v>
      </c>
      <c r="C66" s="21" t="s">
        <v>427</v>
      </c>
      <c r="D66" s="21" t="s">
        <v>428</v>
      </c>
      <c r="E66" s="21" t="s">
        <v>178</v>
      </c>
      <c r="F66" s="20" t="s">
        <v>81</v>
      </c>
      <c r="G66" s="20" t="s">
        <v>106</v>
      </c>
      <c r="H66" s="21" t="s">
        <v>429</v>
      </c>
      <c r="I66" s="21" t="s">
        <v>430</v>
      </c>
      <c r="J66" s="21" t="s">
        <v>117</v>
      </c>
      <c r="K66" s="21" t="s">
        <v>431</v>
      </c>
      <c r="L66" s="22"/>
      <c r="M66" s="23" t="s">
        <v>39</v>
      </c>
      <c r="N66" s="22"/>
      <c r="O66" s="24"/>
      <c r="P66" s="22"/>
      <c r="Q66" s="22"/>
    </row>
    <row r="67" customFormat="false" ht="33.75" hidden="false" customHeight="true" outlineLevel="0" collapsed="false">
      <c r="A67" s="20" t="s">
        <v>432</v>
      </c>
      <c r="B67" s="21" t="s">
        <v>44</v>
      </c>
      <c r="C67" s="21" t="s">
        <v>433</v>
      </c>
      <c r="D67" s="21" t="s">
        <v>434</v>
      </c>
      <c r="E67" s="21" t="s">
        <v>105</v>
      </c>
      <c r="F67" s="20" t="s">
        <v>80</v>
      </c>
      <c r="G67" s="20" t="s">
        <v>121</v>
      </c>
      <c r="H67" s="21" t="s">
        <v>117</v>
      </c>
      <c r="I67" s="21" t="s">
        <v>435</v>
      </c>
      <c r="J67" s="21" t="s">
        <v>117</v>
      </c>
      <c r="K67" s="21" t="s">
        <v>436</v>
      </c>
      <c r="L67" s="22"/>
      <c r="M67" s="23" t="s">
        <v>39</v>
      </c>
      <c r="N67" s="22"/>
      <c r="O67" s="24"/>
      <c r="P67" s="22"/>
      <c r="Q67" s="22"/>
    </row>
    <row r="68" customFormat="false" ht="33.75" hidden="false" customHeight="true" outlineLevel="0" collapsed="false">
      <c r="A68" s="20" t="s">
        <v>437</v>
      </c>
      <c r="B68" s="21" t="s">
        <v>45</v>
      </c>
      <c r="C68" s="21" t="s">
        <v>438</v>
      </c>
      <c r="D68" s="21" t="s">
        <v>439</v>
      </c>
      <c r="E68" s="21" t="s">
        <v>178</v>
      </c>
      <c r="F68" s="20" t="s">
        <v>79</v>
      </c>
      <c r="G68" s="20" t="s">
        <v>106</v>
      </c>
      <c r="H68" s="21" t="s">
        <v>336</v>
      </c>
      <c r="I68" s="21" t="s">
        <v>440</v>
      </c>
      <c r="J68" s="21" t="s">
        <v>117</v>
      </c>
      <c r="K68" s="21" t="s">
        <v>441</v>
      </c>
      <c r="L68" s="22"/>
      <c r="M68" s="23" t="s">
        <v>39</v>
      </c>
      <c r="N68" s="22"/>
      <c r="O68" s="24"/>
      <c r="P68" s="22"/>
      <c r="Q68" s="22"/>
    </row>
    <row r="69" customFormat="false" ht="48" hidden="false" customHeight="true" outlineLevel="0" collapsed="false">
      <c r="A69" s="20" t="s">
        <v>442</v>
      </c>
      <c r="B69" s="21" t="s">
        <v>45</v>
      </c>
      <c r="C69" s="21" t="s">
        <v>443</v>
      </c>
      <c r="D69" s="21" t="s">
        <v>444</v>
      </c>
      <c r="E69" s="21" t="s">
        <v>178</v>
      </c>
      <c r="F69" s="20" t="s">
        <v>79</v>
      </c>
      <c r="G69" s="20" t="s">
        <v>106</v>
      </c>
      <c r="H69" s="21" t="s">
        <v>445</v>
      </c>
      <c r="I69" s="21" t="s">
        <v>446</v>
      </c>
      <c r="J69" s="21" t="s">
        <v>117</v>
      </c>
      <c r="K69" s="21" t="s">
        <v>447</v>
      </c>
      <c r="L69" s="22"/>
      <c r="M69" s="23" t="s">
        <v>39</v>
      </c>
      <c r="N69" s="22"/>
      <c r="O69" s="24"/>
      <c r="P69" s="22"/>
      <c r="Q69" s="22"/>
    </row>
    <row r="70" customFormat="false" ht="33.75" hidden="false" customHeight="true" outlineLevel="0" collapsed="false">
      <c r="A70" s="20" t="s">
        <v>448</v>
      </c>
      <c r="B70" s="21" t="s">
        <v>45</v>
      </c>
      <c r="C70" s="21" t="s">
        <v>443</v>
      </c>
      <c r="D70" s="21" t="s">
        <v>449</v>
      </c>
      <c r="E70" s="21" t="s">
        <v>178</v>
      </c>
      <c r="F70" s="20" t="s">
        <v>80</v>
      </c>
      <c r="G70" s="20" t="s">
        <v>136</v>
      </c>
      <c r="H70" s="21" t="s">
        <v>450</v>
      </c>
      <c r="I70" s="21" t="s">
        <v>451</v>
      </c>
      <c r="J70" s="21" t="s">
        <v>117</v>
      </c>
      <c r="K70" s="21" t="s">
        <v>452</v>
      </c>
      <c r="L70" s="22"/>
      <c r="M70" s="23" t="s">
        <v>39</v>
      </c>
      <c r="N70" s="22"/>
      <c r="O70" s="24"/>
      <c r="P70" s="22"/>
      <c r="Q70" s="22"/>
    </row>
    <row r="71" customFormat="false" ht="61.5" hidden="false" customHeight="true" outlineLevel="0" collapsed="false">
      <c r="A71" s="20" t="s">
        <v>453</v>
      </c>
      <c r="B71" s="21" t="s">
        <v>45</v>
      </c>
      <c r="C71" s="21" t="s">
        <v>443</v>
      </c>
      <c r="D71" s="21" t="s">
        <v>454</v>
      </c>
      <c r="E71" s="21" t="s">
        <v>178</v>
      </c>
      <c r="F71" s="20" t="s">
        <v>81</v>
      </c>
      <c r="G71" s="20" t="s">
        <v>136</v>
      </c>
      <c r="H71" s="21" t="s">
        <v>455</v>
      </c>
      <c r="I71" s="21" t="s">
        <v>451</v>
      </c>
      <c r="J71" s="21" t="s">
        <v>117</v>
      </c>
      <c r="K71" s="21" t="s">
        <v>456</v>
      </c>
      <c r="L71" s="22"/>
      <c r="M71" s="23" t="s">
        <v>39</v>
      </c>
      <c r="N71" s="22"/>
      <c r="O71" s="24"/>
      <c r="P71" s="22"/>
      <c r="Q71" s="22"/>
    </row>
    <row r="72" customFormat="false" ht="48" hidden="false" customHeight="true" outlineLevel="0" collapsed="false">
      <c r="A72" s="20" t="s">
        <v>457</v>
      </c>
      <c r="B72" s="21" t="s">
        <v>45</v>
      </c>
      <c r="C72" s="21" t="s">
        <v>176</v>
      </c>
      <c r="D72" s="21" t="s">
        <v>458</v>
      </c>
      <c r="E72" s="21" t="s">
        <v>459</v>
      </c>
      <c r="F72" s="20" t="s">
        <v>79</v>
      </c>
      <c r="G72" s="20" t="s">
        <v>106</v>
      </c>
      <c r="H72" s="21" t="s">
        <v>460</v>
      </c>
      <c r="I72" s="21" t="s">
        <v>461</v>
      </c>
      <c r="J72" s="21" t="s">
        <v>117</v>
      </c>
      <c r="K72" s="21" t="s">
        <v>462</v>
      </c>
      <c r="L72" s="22"/>
      <c r="M72" s="23" t="s">
        <v>39</v>
      </c>
      <c r="N72" s="22"/>
      <c r="O72" s="24"/>
      <c r="P72" s="22"/>
      <c r="Q72" s="22"/>
    </row>
    <row r="73" customFormat="false" ht="33.75" hidden="false" customHeight="true" outlineLevel="0" collapsed="false">
      <c r="A73" s="20" t="s">
        <v>463</v>
      </c>
      <c r="B73" s="21" t="s">
        <v>45</v>
      </c>
      <c r="C73" s="21" t="s">
        <v>176</v>
      </c>
      <c r="D73" s="21" t="s">
        <v>464</v>
      </c>
      <c r="E73" s="21" t="s">
        <v>459</v>
      </c>
      <c r="F73" s="20" t="s">
        <v>80</v>
      </c>
      <c r="G73" s="20" t="s">
        <v>106</v>
      </c>
      <c r="H73" s="21" t="s">
        <v>465</v>
      </c>
      <c r="I73" s="21" t="s">
        <v>466</v>
      </c>
      <c r="J73" s="21" t="s">
        <v>117</v>
      </c>
      <c r="K73" s="21" t="s">
        <v>467</v>
      </c>
      <c r="L73" s="22"/>
      <c r="M73" s="23" t="s">
        <v>39</v>
      </c>
      <c r="N73" s="22"/>
      <c r="O73" s="24"/>
      <c r="P73" s="22"/>
      <c r="Q73" s="22"/>
    </row>
    <row r="74" customFormat="false" ht="33.75" hidden="false" customHeight="true" outlineLevel="0" collapsed="false">
      <c r="A74" s="20" t="s">
        <v>468</v>
      </c>
      <c r="B74" s="21" t="s">
        <v>45</v>
      </c>
      <c r="C74" s="21" t="s">
        <v>176</v>
      </c>
      <c r="D74" s="21" t="s">
        <v>469</v>
      </c>
      <c r="E74" s="21" t="s">
        <v>178</v>
      </c>
      <c r="F74" s="20" t="s">
        <v>79</v>
      </c>
      <c r="G74" s="20" t="s">
        <v>121</v>
      </c>
      <c r="H74" s="21" t="s">
        <v>465</v>
      </c>
      <c r="I74" s="21" t="s">
        <v>470</v>
      </c>
      <c r="J74" s="21" t="s">
        <v>117</v>
      </c>
      <c r="K74" s="21" t="s">
        <v>471</v>
      </c>
      <c r="L74" s="22"/>
      <c r="M74" s="23" t="s">
        <v>39</v>
      </c>
      <c r="N74" s="22"/>
      <c r="O74" s="24"/>
      <c r="P74" s="22"/>
      <c r="Q74" s="22"/>
    </row>
    <row r="75" customFormat="false" ht="33.75" hidden="false" customHeight="true" outlineLevel="0" collapsed="false">
      <c r="A75" s="20" t="s">
        <v>472</v>
      </c>
      <c r="B75" s="21" t="s">
        <v>45</v>
      </c>
      <c r="C75" s="21" t="s">
        <v>176</v>
      </c>
      <c r="D75" s="21" t="s">
        <v>473</v>
      </c>
      <c r="E75" s="21" t="s">
        <v>178</v>
      </c>
      <c r="F75" s="20" t="s">
        <v>81</v>
      </c>
      <c r="G75" s="20" t="s">
        <v>136</v>
      </c>
      <c r="H75" s="21" t="s">
        <v>474</v>
      </c>
      <c r="I75" s="21" t="s">
        <v>475</v>
      </c>
      <c r="J75" s="21" t="s">
        <v>117</v>
      </c>
      <c r="K75" s="21" t="s">
        <v>476</v>
      </c>
      <c r="L75" s="22"/>
      <c r="M75" s="23" t="s">
        <v>39</v>
      </c>
      <c r="N75" s="22"/>
      <c r="O75" s="24"/>
      <c r="P75" s="22"/>
      <c r="Q75" s="22"/>
    </row>
    <row r="76" customFormat="false" ht="33.75" hidden="false" customHeight="true" outlineLevel="0" collapsed="false">
      <c r="A76" s="20" t="s">
        <v>477</v>
      </c>
      <c r="B76" s="21" t="s">
        <v>45</v>
      </c>
      <c r="C76" s="21" t="s">
        <v>478</v>
      </c>
      <c r="D76" s="21" t="s">
        <v>479</v>
      </c>
      <c r="E76" s="21" t="s">
        <v>178</v>
      </c>
      <c r="F76" s="20" t="s">
        <v>79</v>
      </c>
      <c r="G76" s="20" t="s">
        <v>106</v>
      </c>
      <c r="H76" s="21" t="s">
        <v>480</v>
      </c>
      <c r="I76" s="21" t="s">
        <v>481</v>
      </c>
      <c r="J76" s="21" t="s">
        <v>117</v>
      </c>
      <c r="K76" s="21" t="s">
        <v>482</v>
      </c>
      <c r="L76" s="22"/>
      <c r="M76" s="23" t="s">
        <v>39</v>
      </c>
      <c r="N76" s="22"/>
      <c r="O76" s="24"/>
      <c r="P76" s="22"/>
      <c r="Q76" s="22"/>
    </row>
    <row r="77" customFormat="false" ht="33.75" hidden="false" customHeight="true" outlineLevel="0" collapsed="false">
      <c r="A77" s="20" t="s">
        <v>483</v>
      </c>
      <c r="B77" s="21" t="s">
        <v>45</v>
      </c>
      <c r="C77" s="21" t="s">
        <v>478</v>
      </c>
      <c r="D77" s="21" t="s">
        <v>484</v>
      </c>
      <c r="E77" s="21" t="s">
        <v>178</v>
      </c>
      <c r="F77" s="20" t="s">
        <v>79</v>
      </c>
      <c r="G77" s="20" t="s">
        <v>136</v>
      </c>
      <c r="H77" s="21" t="s">
        <v>485</v>
      </c>
      <c r="I77" s="21" t="s">
        <v>486</v>
      </c>
      <c r="J77" s="21" t="s">
        <v>117</v>
      </c>
      <c r="K77" s="21" t="s">
        <v>487</v>
      </c>
      <c r="L77" s="22"/>
      <c r="M77" s="23" t="s">
        <v>39</v>
      </c>
      <c r="N77" s="22"/>
      <c r="O77" s="24"/>
      <c r="P77" s="22"/>
      <c r="Q77" s="22"/>
    </row>
    <row r="78" customFormat="false" ht="48" hidden="false" customHeight="true" outlineLevel="0" collapsed="false">
      <c r="A78" s="20" t="s">
        <v>488</v>
      </c>
      <c r="B78" s="21" t="s">
        <v>45</v>
      </c>
      <c r="C78" s="21" t="s">
        <v>478</v>
      </c>
      <c r="D78" s="21" t="s">
        <v>489</v>
      </c>
      <c r="E78" s="21" t="s">
        <v>178</v>
      </c>
      <c r="F78" s="20" t="s">
        <v>80</v>
      </c>
      <c r="G78" s="20" t="s">
        <v>136</v>
      </c>
      <c r="H78" s="21" t="s">
        <v>490</v>
      </c>
      <c r="I78" s="21" t="s">
        <v>491</v>
      </c>
      <c r="J78" s="21" t="s">
        <v>117</v>
      </c>
      <c r="K78" s="21" t="s">
        <v>492</v>
      </c>
      <c r="L78" s="22"/>
      <c r="M78" s="23" t="s">
        <v>39</v>
      </c>
      <c r="N78" s="22"/>
      <c r="O78" s="24"/>
      <c r="P78" s="22"/>
      <c r="Q78" s="22"/>
    </row>
    <row r="79" customFormat="false" ht="33.75" hidden="false" customHeight="true" outlineLevel="0" collapsed="false">
      <c r="A79" s="20" t="s">
        <v>493</v>
      </c>
      <c r="B79" s="21" t="s">
        <v>45</v>
      </c>
      <c r="C79" s="21" t="s">
        <v>478</v>
      </c>
      <c r="D79" s="21" t="s">
        <v>494</v>
      </c>
      <c r="E79" s="21" t="s">
        <v>178</v>
      </c>
      <c r="F79" s="20" t="s">
        <v>81</v>
      </c>
      <c r="G79" s="20" t="s">
        <v>136</v>
      </c>
      <c r="H79" s="21" t="s">
        <v>117</v>
      </c>
      <c r="I79" s="21" t="s">
        <v>495</v>
      </c>
      <c r="J79" s="21" t="s">
        <v>117</v>
      </c>
      <c r="K79" s="21" t="s">
        <v>496</v>
      </c>
      <c r="L79" s="22"/>
      <c r="M79" s="23" t="s">
        <v>39</v>
      </c>
      <c r="N79" s="22"/>
      <c r="O79" s="24"/>
      <c r="P79" s="22"/>
      <c r="Q79" s="22"/>
    </row>
    <row r="80" customFormat="false" ht="33.75" hidden="false" customHeight="true" outlineLevel="0" collapsed="false">
      <c r="A80" s="20" t="s">
        <v>497</v>
      </c>
      <c r="B80" s="21" t="s">
        <v>46</v>
      </c>
      <c r="C80" s="21" t="s">
        <v>286</v>
      </c>
      <c r="D80" s="21" t="s">
        <v>498</v>
      </c>
      <c r="E80" s="21" t="s">
        <v>178</v>
      </c>
      <c r="F80" s="20" t="s">
        <v>80</v>
      </c>
      <c r="G80" s="20" t="s">
        <v>106</v>
      </c>
      <c r="H80" s="21" t="s">
        <v>117</v>
      </c>
      <c r="I80" s="21" t="s">
        <v>499</v>
      </c>
      <c r="J80" s="21" t="s">
        <v>117</v>
      </c>
      <c r="K80" s="21" t="s">
        <v>500</v>
      </c>
      <c r="L80" s="22"/>
      <c r="M80" s="23" t="s">
        <v>39</v>
      </c>
      <c r="N80" s="22"/>
      <c r="O80" s="24"/>
      <c r="P80" s="22"/>
      <c r="Q80" s="22"/>
    </row>
    <row r="81" customFormat="false" ht="48" hidden="false" customHeight="true" outlineLevel="0" collapsed="false">
      <c r="A81" s="20" t="s">
        <v>501</v>
      </c>
      <c r="B81" s="21" t="s">
        <v>46</v>
      </c>
      <c r="C81" s="21" t="s">
        <v>286</v>
      </c>
      <c r="D81" s="21" t="s">
        <v>502</v>
      </c>
      <c r="E81" s="21" t="s">
        <v>178</v>
      </c>
      <c r="F81" s="20" t="s">
        <v>80</v>
      </c>
      <c r="G81" s="20" t="s">
        <v>136</v>
      </c>
      <c r="H81" s="21" t="s">
        <v>117</v>
      </c>
      <c r="I81" s="21" t="s">
        <v>503</v>
      </c>
      <c r="J81" s="21" t="s">
        <v>117</v>
      </c>
      <c r="K81" s="21" t="s">
        <v>504</v>
      </c>
      <c r="L81" s="22"/>
      <c r="M81" s="23" t="s">
        <v>39</v>
      </c>
      <c r="N81" s="22"/>
      <c r="O81" s="24"/>
      <c r="P81" s="22"/>
      <c r="Q81" s="22"/>
    </row>
    <row r="82" customFormat="false" ht="33.75" hidden="false" customHeight="true" outlineLevel="0" collapsed="false">
      <c r="A82" s="20" t="s">
        <v>505</v>
      </c>
      <c r="B82" s="21" t="s">
        <v>46</v>
      </c>
      <c r="C82" s="21" t="s">
        <v>286</v>
      </c>
      <c r="D82" s="21" t="s">
        <v>292</v>
      </c>
      <c r="E82" s="21" t="s">
        <v>178</v>
      </c>
      <c r="F82" s="20" t="s">
        <v>81</v>
      </c>
      <c r="G82" s="20" t="s">
        <v>136</v>
      </c>
      <c r="H82" s="21" t="s">
        <v>117</v>
      </c>
      <c r="I82" s="21" t="s">
        <v>506</v>
      </c>
      <c r="J82" s="21" t="s">
        <v>117</v>
      </c>
      <c r="K82" s="21" t="s">
        <v>507</v>
      </c>
      <c r="L82" s="22"/>
      <c r="M82" s="23" t="s">
        <v>39</v>
      </c>
      <c r="N82" s="22"/>
      <c r="O82" s="24"/>
      <c r="P82" s="22"/>
      <c r="Q82" s="22"/>
    </row>
    <row r="83" customFormat="false" ht="33.75" hidden="false" customHeight="true" outlineLevel="0" collapsed="false">
      <c r="A83" s="20" t="s">
        <v>508</v>
      </c>
      <c r="B83" s="21" t="s">
        <v>46</v>
      </c>
      <c r="C83" s="21" t="s">
        <v>478</v>
      </c>
      <c r="D83" s="21" t="s">
        <v>509</v>
      </c>
      <c r="E83" s="21" t="s">
        <v>178</v>
      </c>
      <c r="F83" s="20" t="s">
        <v>81</v>
      </c>
      <c r="G83" s="20" t="s">
        <v>106</v>
      </c>
      <c r="H83" s="21" t="s">
        <v>510</v>
      </c>
      <c r="I83" s="21" t="s">
        <v>511</v>
      </c>
      <c r="J83" s="21" t="s">
        <v>117</v>
      </c>
      <c r="K83" s="21" t="s">
        <v>512</v>
      </c>
      <c r="L83" s="22"/>
      <c r="M83" s="23" t="s">
        <v>39</v>
      </c>
      <c r="N83" s="22"/>
      <c r="O83" s="24"/>
      <c r="P83" s="22"/>
      <c r="Q83" s="22"/>
    </row>
    <row r="84" customFormat="false" ht="33.75" hidden="false" customHeight="true" outlineLevel="0" collapsed="false">
      <c r="A84" s="20" t="s">
        <v>513</v>
      </c>
      <c r="B84" s="21" t="s">
        <v>46</v>
      </c>
      <c r="C84" s="21" t="s">
        <v>478</v>
      </c>
      <c r="D84" s="21" t="s">
        <v>514</v>
      </c>
      <c r="E84" s="21" t="s">
        <v>178</v>
      </c>
      <c r="F84" s="20" t="s">
        <v>81</v>
      </c>
      <c r="G84" s="20" t="s">
        <v>136</v>
      </c>
      <c r="H84" s="21" t="s">
        <v>117</v>
      </c>
      <c r="I84" s="21" t="s">
        <v>515</v>
      </c>
      <c r="J84" s="21" t="s">
        <v>117</v>
      </c>
      <c r="K84" s="21" t="s">
        <v>516</v>
      </c>
      <c r="L84" s="22"/>
      <c r="M84" s="23" t="s">
        <v>39</v>
      </c>
      <c r="N84" s="22"/>
      <c r="O84" s="24"/>
      <c r="P84" s="22"/>
      <c r="Q84" s="22"/>
    </row>
    <row r="85" customFormat="false" ht="48" hidden="false" customHeight="true" outlineLevel="0" collapsed="false">
      <c r="A85" s="20" t="s">
        <v>517</v>
      </c>
      <c r="B85" s="21" t="s">
        <v>46</v>
      </c>
      <c r="C85" s="21" t="s">
        <v>121</v>
      </c>
      <c r="D85" s="21" t="s">
        <v>518</v>
      </c>
      <c r="E85" s="21" t="s">
        <v>519</v>
      </c>
      <c r="F85" s="20" t="s">
        <v>80</v>
      </c>
      <c r="G85" s="20" t="s">
        <v>121</v>
      </c>
      <c r="H85" s="21" t="s">
        <v>520</v>
      </c>
      <c r="I85" s="21" t="s">
        <v>521</v>
      </c>
      <c r="J85" s="21" t="s">
        <v>117</v>
      </c>
      <c r="K85" s="21" t="s">
        <v>522</v>
      </c>
      <c r="L85" s="22"/>
      <c r="M85" s="23" t="s">
        <v>39</v>
      </c>
      <c r="N85" s="22"/>
      <c r="O85" s="24"/>
      <c r="P85" s="22"/>
      <c r="Q85" s="22"/>
    </row>
    <row r="86" customFormat="false" ht="48" hidden="false" customHeight="true" outlineLevel="0" collapsed="false">
      <c r="A86" s="20" t="s">
        <v>523</v>
      </c>
      <c r="B86" s="21" t="s">
        <v>47</v>
      </c>
      <c r="C86" s="21" t="s">
        <v>524</v>
      </c>
      <c r="D86" s="21" t="s">
        <v>525</v>
      </c>
      <c r="E86" s="21" t="s">
        <v>178</v>
      </c>
      <c r="F86" s="20" t="s">
        <v>79</v>
      </c>
      <c r="G86" s="20" t="s">
        <v>106</v>
      </c>
      <c r="H86" s="21" t="s">
        <v>117</v>
      </c>
      <c r="I86" s="21" t="s">
        <v>526</v>
      </c>
      <c r="J86" s="21" t="s">
        <v>117</v>
      </c>
      <c r="K86" s="21" t="s">
        <v>527</v>
      </c>
      <c r="L86" s="22"/>
      <c r="M86" s="23" t="s">
        <v>39</v>
      </c>
      <c r="N86" s="22"/>
      <c r="O86" s="24"/>
      <c r="P86" s="22"/>
      <c r="Q86" s="22"/>
    </row>
    <row r="87" customFormat="false" ht="33.75" hidden="false" customHeight="true" outlineLevel="0" collapsed="false">
      <c r="A87" s="20" t="s">
        <v>528</v>
      </c>
      <c r="B87" s="21" t="s">
        <v>47</v>
      </c>
      <c r="C87" s="21" t="s">
        <v>524</v>
      </c>
      <c r="D87" s="21" t="s">
        <v>529</v>
      </c>
      <c r="E87" s="21" t="s">
        <v>178</v>
      </c>
      <c r="F87" s="20" t="s">
        <v>80</v>
      </c>
      <c r="G87" s="20" t="s">
        <v>136</v>
      </c>
      <c r="H87" s="21" t="s">
        <v>117</v>
      </c>
      <c r="I87" s="21" t="s">
        <v>530</v>
      </c>
      <c r="J87" s="21" t="s">
        <v>117</v>
      </c>
      <c r="K87" s="21" t="s">
        <v>531</v>
      </c>
      <c r="L87" s="22"/>
      <c r="M87" s="23" t="s">
        <v>39</v>
      </c>
      <c r="N87" s="22"/>
      <c r="O87" s="24"/>
      <c r="P87" s="22"/>
      <c r="Q87" s="22"/>
    </row>
    <row r="88" customFormat="false" ht="48" hidden="false" customHeight="true" outlineLevel="0" collapsed="false">
      <c r="A88" s="20" t="s">
        <v>532</v>
      </c>
      <c r="B88" s="21" t="s">
        <v>47</v>
      </c>
      <c r="C88" s="21" t="s">
        <v>190</v>
      </c>
      <c r="D88" s="21" t="s">
        <v>533</v>
      </c>
      <c r="E88" s="21" t="s">
        <v>190</v>
      </c>
      <c r="F88" s="20" t="s">
        <v>79</v>
      </c>
      <c r="G88" s="20" t="s">
        <v>106</v>
      </c>
      <c r="H88" s="21" t="s">
        <v>534</v>
      </c>
      <c r="I88" s="21" t="s">
        <v>535</v>
      </c>
      <c r="J88" s="21" t="s">
        <v>117</v>
      </c>
      <c r="K88" s="21" t="s">
        <v>536</v>
      </c>
      <c r="L88" s="22"/>
      <c r="M88" s="23" t="s">
        <v>39</v>
      </c>
      <c r="N88" s="22"/>
      <c r="O88" s="24"/>
      <c r="P88" s="22"/>
      <c r="Q88" s="22"/>
    </row>
    <row r="89" customFormat="false" ht="33.75" hidden="false" customHeight="true" outlineLevel="0" collapsed="false">
      <c r="A89" s="20" t="s">
        <v>537</v>
      </c>
      <c r="B89" s="21" t="s">
        <v>47</v>
      </c>
      <c r="C89" s="21" t="s">
        <v>190</v>
      </c>
      <c r="D89" s="21" t="s">
        <v>538</v>
      </c>
      <c r="E89" s="21" t="s">
        <v>190</v>
      </c>
      <c r="F89" s="20" t="s">
        <v>80</v>
      </c>
      <c r="G89" s="20" t="s">
        <v>114</v>
      </c>
      <c r="H89" s="21" t="s">
        <v>117</v>
      </c>
      <c r="I89" s="21" t="s">
        <v>539</v>
      </c>
      <c r="J89" s="21" t="s">
        <v>117</v>
      </c>
      <c r="K89" s="21" t="s">
        <v>540</v>
      </c>
      <c r="L89" s="22"/>
      <c r="M89" s="23" t="s">
        <v>39</v>
      </c>
      <c r="N89" s="22"/>
      <c r="O89" s="24"/>
      <c r="P89" s="22"/>
      <c r="Q89" s="22"/>
    </row>
    <row r="90" customFormat="false" ht="33.75" hidden="false" customHeight="true" outlineLevel="0" collapsed="false">
      <c r="A90" s="20" t="s">
        <v>541</v>
      </c>
      <c r="B90" s="21" t="s">
        <v>47</v>
      </c>
      <c r="C90" s="21" t="s">
        <v>190</v>
      </c>
      <c r="D90" s="21" t="s">
        <v>542</v>
      </c>
      <c r="E90" s="21" t="s">
        <v>190</v>
      </c>
      <c r="F90" s="20" t="s">
        <v>80</v>
      </c>
      <c r="G90" s="20" t="s">
        <v>114</v>
      </c>
      <c r="H90" s="21" t="s">
        <v>543</v>
      </c>
      <c r="I90" s="21" t="s">
        <v>544</v>
      </c>
      <c r="J90" s="21" t="s">
        <v>117</v>
      </c>
      <c r="K90" s="21" t="s">
        <v>545</v>
      </c>
      <c r="L90" s="22"/>
      <c r="M90" s="23" t="s">
        <v>39</v>
      </c>
      <c r="N90" s="22"/>
      <c r="O90" s="24"/>
      <c r="P90" s="22"/>
      <c r="Q90" s="22"/>
    </row>
    <row r="91" customFormat="false" ht="33.75" hidden="false" customHeight="true" outlineLevel="0" collapsed="false">
      <c r="A91" s="20" t="s">
        <v>546</v>
      </c>
      <c r="B91" s="21" t="s">
        <v>47</v>
      </c>
      <c r="C91" s="21" t="s">
        <v>190</v>
      </c>
      <c r="D91" s="21" t="s">
        <v>547</v>
      </c>
      <c r="E91" s="21" t="s">
        <v>190</v>
      </c>
      <c r="F91" s="20" t="s">
        <v>81</v>
      </c>
      <c r="G91" s="20" t="s">
        <v>136</v>
      </c>
      <c r="H91" s="21" t="s">
        <v>548</v>
      </c>
      <c r="I91" s="21" t="s">
        <v>549</v>
      </c>
      <c r="J91" s="21" t="s">
        <v>117</v>
      </c>
      <c r="K91" s="21" t="s">
        <v>550</v>
      </c>
      <c r="L91" s="22"/>
      <c r="M91" s="23" t="s">
        <v>39</v>
      </c>
      <c r="N91" s="22"/>
      <c r="O91" s="24"/>
      <c r="P91" s="22"/>
      <c r="Q91" s="22"/>
    </row>
    <row r="92" customFormat="false" ht="33.75" hidden="false" customHeight="true" outlineLevel="0" collapsed="false">
      <c r="A92" s="20" t="s">
        <v>551</v>
      </c>
      <c r="B92" s="21" t="s">
        <v>47</v>
      </c>
      <c r="C92" s="21" t="s">
        <v>247</v>
      </c>
      <c r="D92" s="21" t="s">
        <v>552</v>
      </c>
      <c r="E92" s="21" t="s">
        <v>178</v>
      </c>
      <c r="F92" s="20" t="s">
        <v>79</v>
      </c>
      <c r="G92" s="20" t="s">
        <v>106</v>
      </c>
      <c r="H92" s="21" t="s">
        <v>553</v>
      </c>
      <c r="I92" s="21" t="s">
        <v>554</v>
      </c>
      <c r="J92" s="21" t="s">
        <v>117</v>
      </c>
      <c r="K92" s="21" t="s">
        <v>555</v>
      </c>
      <c r="L92" s="22"/>
      <c r="M92" s="23" t="s">
        <v>39</v>
      </c>
      <c r="N92" s="22"/>
      <c r="O92" s="24"/>
      <c r="P92" s="22"/>
      <c r="Q92" s="22"/>
    </row>
    <row r="93" customFormat="false" ht="33.75" hidden="false" customHeight="true" outlineLevel="0" collapsed="false">
      <c r="A93" s="20" t="s">
        <v>556</v>
      </c>
      <c r="B93" s="21" t="s">
        <v>47</v>
      </c>
      <c r="C93" s="21" t="s">
        <v>247</v>
      </c>
      <c r="D93" s="21" t="s">
        <v>557</v>
      </c>
      <c r="E93" s="21" t="s">
        <v>178</v>
      </c>
      <c r="F93" s="20" t="s">
        <v>80</v>
      </c>
      <c r="G93" s="20" t="s">
        <v>136</v>
      </c>
      <c r="H93" s="21" t="s">
        <v>117</v>
      </c>
      <c r="I93" s="21" t="s">
        <v>558</v>
      </c>
      <c r="J93" s="21" t="s">
        <v>117</v>
      </c>
      <c r="K93" s="21" t="s">
        <v>559</v>
      </c>
      <c r="L93" s="22"/>
      <c r="M93" s="23" t="s">
        <v>39</v>
      </c>
      <c r="N93" s="22"/>
      <c r="O93" s="24"/>
      <c r="P93" s="22"/>
      <c r="Q93" s="22"/>
    </row>
    <row r="94" customFormat="false" ht="33.75" hidden="false" customHeight="true" outlineLevel="0" collapsed="false">
      <c r="A94" s="20" t="s">
        <v>560</v>
      </c>
      <c r="B94" s="21" t="s">
        <v>47</v>
      </c>
      <c r="C94" s="21" t="s">
        <v>247</v>
      </c>
      <c r="D94" s="21" t="s">
        <v>561</v>
      </c>
      <c r="E94" s="21" t="s">
        <v>190</v>
      </c>
      <c r="F94" s="20" t="s">
        <v>80</v>
      </c>
      <c r="G94" s="20" t="s">
        <v>106</v>
      </c>
      <c r="H94" s="21" t="s">
        <v>562</v>
      </c>
      <c r="I94" s="21" t="s">
        <v>563</v>
      </c>
      <c r="J94" s="21" t="s">
        <v>117</v>
      </c>
      <c r="K94" s="21" t="s">
        <v>564</v>
      </c>
      <c r="L94" s="22"/>
      <c r="M94" s="23" t="s">
        <v>39</v>
      </c>
      <c r="N94" s="22"/>
      <c r="O94" s="24"/>
      <c r="P94" s="22"/>
      <c r="Q94" s="22"/>
    </row>
    <row r="95" customFormat="false" ht="48" hidden="false" customHeight="true" outlineLevel="0" collapsed="false">
      <c r="A95" s="20" t="s">
        <v>565</v>
      </c>
      <c r="B95" s="21" t="s">
        <v>47</v>
      </c>
      <c r="C95" s="21" t="s">
        <v>566</v>
      </c>
      <c r="D95" s="21" t="s">
        <v>567</v>
      </c>
      <c r="E95" s="21" t="s">
        <v>178</v>
      </c>
      <c r="F95" s="20" t="s">
        <v>80</v>
      </c>
      <c r="G95" s="20" t="s">
        <v>106</v>
      </c>
      <c r="H95" s="21" t="s">
        <v>568</v>
      </c>
      <c r="I95" s="21" t="s">
        <v>569</v>
      </c>
      <c r="J95" s="21" t="s">
        <v>117</v>
      </c>
      <c r="K95" s="21" t="s">
        <v>570</v>
      </c>
      <c r="L95" s="22"/>
      <c r="M95" s="23" t="s">
        <v>39</v>
      </c>
      <c r="N95" s="22"/>
      <c r="O95" s="24"/>
      <c r="P95" s="22"/>
      <c r="Q95" s="22"/>
    </row>
    <row r="96" customFormat="false" ht="33.75" hidden="false" customHeight="true" outlineLevel="0" collapsed="false">
      <c r="A96" s="20" t="s">
        <v>571</v>
      </c>
      <c r="B96" s="21" t="s">
        <v>47</v>
      </c>
      <c r="C96" s="21" t="s">
        <v>566</v>
      </c>
      <c r="D96" s="21" t="s">
        <v>572</v>
      </c>
      <c r="E96" s="21" t="s">
        <v>178</v>
      </c>
      <c r="F96" s="20" t="s">
        <v>81</v>
      </c>
      <c r="G96" s="20" t="s">
        <v>136</v>
      </c>
      <c r="H96" s="21" t="s">
        <v>573</v>
      </c>
      <c r="I96" s="21" t="s">
        <v>574</v>
      </c>
      <c r="J96" s="21" t="s">
        <v>117</v>
      </c>
      <c r="K96" s="21" t="s">
        <v>575</v>
      </c>
      <c r="L96" s="22"/>
      <c r="M96" s="23" t="s">
        <v>39</v>
      </c>
      <c r="N96" s="22"/>
      <c r="O96" s="24"/>
      <c r="P96" s="22"/>
      <c r="Q96" s="22"/>
    </row>
    <row r="97" customFormat="false" ht="48" hidden="false" customHeight="true" outlineLevel="0" collapsed="false">
      <c r="A97" s="20" t="s">
        <v>576</v>
      </c>
      <c r="B97" s="21" t="s">
        <v>48</v>
      </c>
      <c r="C97" s="21" t="s">
        <v>210</v>
      </c>
      <c r="D97" s="21" t="s">
        <v>577</v>
      </c>
      <c r="E97" s="21" t="s">
        <v>190</v>
      </c>
      <c r="F97" s="20" t="s">
        <v>79</v>
      </c>
      <c r="G97" s="20" t="s">
        <v>106</v>
      </c>
      <c r="H97" s="21" t="s">
        <v>578</v>
      </c>
      <c r="I97" s="21" t="s">
        <v>579</v>
      </c>
      <c r="J97" s="21" t="s">
        <v>117</v>
      </c>
      <c r="K97" s="21" t="s">
        <v>580</v>
      </c>
      <c r="L97" s="22"/>
      <c r="M97" s="23" t="s">
        <v>39</v>
      </c>
      <c r="N97" s="22"/>
      <c r="O97" s="24"/>
      <c r="P97" s="22"/>
      <c r="Q97" s="22"/>
    </row>
    <row r="98" customFormat="false" ht="33.75" hidden="false" customHeight="true" outlineLevel="0" collapsed="false">
      <c r="A98" s="20" t="s">
        <v>581</v>
      </c>
      <c r="B98" s="21" t="s">
        <v>48</v>
      </c>
      <c r="C98" s="21" t="s">
        <v>582</v>
      </c>
      <c r="D98" s="21" t="s">
        <v>583</v>
      </c>
      <c r="E98" s="21" t="s">
        <v>190</v>
      </c>
      <c r="F98" s="20" t="s">
        <v>79</v>
      </c>
      <c r="G98" s="20" t="s">
        <v>121</v>
      </c>
      <c r="H98" s="21" t="s">
        <v>584</v>
      </c>
      <c r="I98" s="21" t="s">
        <v>585</v>
      </c>
      <c r="J98" s="21" t="s">
        <v>117</v>
      </c>
      <c r="K98" s="21" t="s">
        <v>586</v>
      </c>
      <c r="L98" s="22"/>
      <c r="M98" s="23" t="s">
        <v>39</v>
      </c>
      <c r="N98" s="22"/>
      <c r="O98" s="24"/>
      <c r="P98" s="22"/>
      <c r="Q98" s="22"/>
    </row>
    <row r="99" customFormat="false" ht="33.75" hidden="false" customHeight="true" outlineLevel="0" collapsed="false">
      <c r="A99" s="20" t="s">
        <v>587</v>
      </c>
      <c r="B99" s="21" t="s">
        <v>48</v>
      </c>
      <c r="C99" s="21" t="s">
        <v>582</v>
      </c>
      <c r="D99" s="21" t="s">
        <v>588</v>
      </c>
      <c r="E99" s="21" t="s">
        <v>190</v>
      </c>
      <c r="F99" s="20" t="s">
        <v>79</v>
      </c>
      <c r="G99" s="20" t="s">
        <v>121</v>
      </c>
      <c r="H99" s="21" t="s">
        <v>589</v>
      </c>
      <c r="I99" s="21" t="s">
        <v>585</v>
      </c>
      <c r="J99" s="21" t="s">
        <v>117</v>
      </c>
      <c r="K99" s="21" t="s">
        <v>590</v>
      </c>
      <c r="L99" s="22"/>
      <c r="M99" s="23" t="s">
        <v>39</v>
      </c>
      <c r="N99" s="22"/>
      <c r="O99" s="24"/>
      <c r="P99" s="22"/>
      <c r="Q99" s="22"/>
    </row>
    <row r="100" customFormat="false" ht="33.75" hidden="false" customHeight="true" outlineLevel="0" collapsed="false">
      <c r="A100" s="20" t="s">
        <v>591</v>
      </c>
      <c r="B100" s="21" t="s">
        <v>48</v>
      </c>
      <c r="C100" s="21" t="s">
        <v>582</v>
      </c>
      <c r="D100" s="21" t="s">
        <v>592</v>
      </c>
      <c r="E100" s="21" t="s">
        <v>190</v>
      </c>
      <c r="F100" s="20" t="s">
        <v>80</v>
      </c>
      <c r="G100" s="20" t="s">
        <v>136</v>
      </c>
      <c r="H100" s="21" t="s">
        <v>593</v>
      </c>
      <c r="I100" s="21" t="s">
        <v>585</v>
      </c>
      <c r="J100" s="21" t="s">
        <v>117</v>
      </c>
      <c r="K100" s="21" t="s">
        <v>594</v>
      </c>
      <c r="L100" s="22"/>
      <c r="M100" s="23" t="s">
        <v>39</v>
      </c>
      <c r="N100" s="22"/>
      <c r="O100" s="24"/>
      <c r="P100" s="22"/>
      <c r="Q100" s="22"/>
    </row>
    <row r="101" customFormat="false" ht="33.75" hidden="false" customHeight="true" outlineLevel="0" collapsed="false">
      <c r="A101" s="20" t="s">
        <v>595</v>
      </c>
      <c r="B101" s="21" t="s">
        <v>48</v>
      </c>
      <c r="C101" s="21" t="s">
        <v>582</v>
      </c>
      <c r="D101" s="21" t="s">
        <v>596</v>
      </c>
      <c r="E101" s="21" t="s">
        <v>190</v>
      </c>
      <c r="F101" s="20" t="s">
        <v>79</v>
      </c>
      <c r="G101" s="20" t="s">
        <v>121</v>
      </c>
      <c r="H101" s="21" t="s">
        <v>597</v>
      </c>
      <c r="I101" s="21" t="s">
        <v>598</v>
      </c>
      <c r="J101" s="21" t="s">
        <v>117</v>
      </c>
      <c r="K101" s="21" t="s">
        <v>599</v>
      </c>
      <c r="L101" s="22"/>
      <c r="M101" s="23" t="s">
        <v>39</v>
      </c>
      <c r="N101" s="22"/>
      <c r="O101" s="24"/>
      <c r="P101" s="22"/>
      <c r="Q101" s="22"/>
    </row>
    <row r="102" customFormat="false" ht="33.75" hidden="false" customHeight="true" outlineLevel="0" collapsed="false">
      <c r="A102" s="20" t="s">
        <v>600</v>
      </c>
      <c r="B102" s="21" t="s">
        <v>48</v>
      </c>
      <c r="C102" s="21" t="s">
        <v>582</v>
      </c>
      <c r="D102" s="21" t="s">
        <v>601</v>
      </c>
      <c r="E102" s="21" t="s">
        <v>190</v>
      </c>
      <c r="F102" s="20" t="s">
        <v>81</v>
      </c>
      <c r="G102" s="20" t="s">
        <v>121</v>
      </c>
      <c r="H102" s="21" t="s">
        <v>602</v>
      </c>
      <c r="I102" s="21" t="s">
        <v>603</v>
      </c>
      <c r="J102" s="21" t="s">
        <v>117</v>
      </c>
      <c r="K102" s="21" t="s">
        <v>604</v>
      </c>
      <c r="L102" s="22"/>
      <c r="M102" s="23" t="s">
        <v>39</v>
      </c>
      <c r="N102" s="22"/>
      <c r="O102" s="24"/>
      <c r="P102" s="22"/>
      <c r="Q102" s="22"/>
    </row>
    <row r="103" customFormat="false" ht="33.75" hidden="false" customHeight="true" outlineLevel="0" collapsed="false">
      <c r="A103" s="20" t="s">
        <v>605</v>
      </c>
      <c r="B103" s="21" t="s">
        <v>48</v>
      </c>
      <c r="C103" s="21" t="s">
        <v>582</v>
      </c>
      <c r="D103" s="21" t="s">
        <v>606</v>
      </c>
      <c r="E103" s="21" t="s">
        <v>190</v>
      </c>
      <c r="F103" s="20" t="s">
        <v>80</v>
      </c>
      <c r="G103" s="20" t="s">
        <v>136</v>
      </c>
      <c r="H103" s="21" t="s">
        <v>607</v>
      </c>
      <c r="I103" s="21" t="s">
        <v>608</v>
      </c>
      <c r="J103" s="21" t="s">
        <v>117</v>
      </c>
      <c r="K103" s="21" t="s">
        <v>609</v>
      </c>
      <c r="L103" s="22"/>
      <c r="M103" s="23" t="s">
        <v>39</v>
      </c>
      <c r="N103" s="22"/>
      <c r="O103" s="24"/>
      <c r="P103" s="22"/>
      <c r="Q103" s="22"/>
    </row>
    <row r="104" customFormat="false" ht="48" hidden="false" customHeight="true" outlineLevel="0" collapsed="false">
      <c r="A104" s="20" t="s">
        <v>610</v>
      </c>
      <c r="B104" s="21" t="s">
        <v>48</v>
      </c>
      <c r="C104" s="21" t="s">
        <v>611</v>
      </c>
      <c r="D104" s="21" t="s">
        <v>612</v>
      </c>
      <c r="E104" s="21" t="s">
        <v>190</v>
      </c>
      <c r="F104" s="20" t="s">
        <v>79</v>
      </c>
      <c r="G104" s="20" t="s">
        <v>114</v>
      </c>
      <c r="H104" s="21" t="s">
        <v>117</v>
      </c>
      <c r="I104" s="21" t="s">
        <v>613</v>
      </c>
      <c r="J104" s="21" t="s">
        <v>117</v>
      </c>
      <c r="K104" s="21" t="s">
        <v>614</v>
      </c>
      <c r="L104" s="22"/>
      <c r="M104" s="23" t="s">
        <v>39</v>
      </c>
      <c r="N104" s="22"/>
      <c r="O104" s="24"/>
      <c r="P104" s="22"/>
      <c r="Q104" s="22"/>
    </row>
    <row r="105" customFormat="false" ht="33.75" hidden="false" customHeight="true" outlineLevel="0" collapsed="false">
      <c r="A105" s="20" t="s">
        <v>615</v>
      </c>
      <c r="B105" s="21" t="s">
        <v>48</v>
      </c>
      <c r="C105" s="21" t="s">
        <v>611</v>
      </c>
      <c r="D105" s="21" t="s">
        <v>616</v>
      </c>
      <c r="E105" s="21" t="s">
        <v>190</v>
      </c>
      <c r="F105" s="20" t="s">
        <v>79</v>
      </c>
      <c r="G105" s="20" t="s">
        <v>136</v>
      </c>
      <c r="H105" s="21" t="s">
        <v>117</v>
      </c>
      <c r="I105" s="21" t="s">
        <v>617</v>
      </c>
      <c r="J105" s="21" t="s">
        <v>117</v>
      </c>
      <c r="K105" s="21" t="s">
        <v>618</v>
      </c>
      <c r="L105" s="22"/>
      <c r="M105" s="23" t="s">
        <v>39</v>
      </c>
      <c r="N105" s="22"/>
      <c r="O105" s="24"/>
      <c r="P105" s="22"/>
      <c r="Q105" s="22"/>
    </row>
    <row r="106" customFormat="false" ht="33.75" hidden="false" customHeight="true" outlineLevel="0" collapsed="false">
      <c r="A106" s="20" t="s">
        <v>619</v>
      </c>
      <c r="B106" s="21" t="s">
        <v>48</v>
      </c>
      <c r="C106" s="21" t="s">
        <v>611</v>
      </c>
      <c r="D106" s="21" t="s">
        <v>620</v>
      </c>
      <c r="E106" s="21" t="s">
        <v>190</v>
      </c>
      <c r="F106" s="20" t="s">
        <v>80</v>
      </c>
      <c r="G106" s="20" t="s">
        <v>136</v>
      </c>
      <c r="H106" s="21" t="s">
        <v>621</v>
      </c>
      <c r="I106" s="21" t="s">
        <v>622</v>
      </c>
      <c r="J106" s="21" t="s">
        <v>117</v>
      </c>
      <c r="K106" s="21" t="s">
        <v>623</v>
      </c>
      <c r="L106" s="22"/>
      <c r="M106" s="23" t="s">
        <v>39</v>
      </c>
      <c r="N106" s="22"/>
      <c r="O106" s="24"/>
      <c r="P106" s="22"/>
      <c r="Q106" s="22"/>
    </row>
    <row r="107" customFormat="false" ht="33.75" hidden="false" customHeight="true" outlineLevel="0" collapsed="false">
      <c r="A107" s="20" t="s">
        <v>624</v>
      </c>
      <c r="B107" s="21" t="s">
        <v>48</v>
      </c>
      <c r="C107" s="21" t="s">
        <v>611</v>
      </c>
      <c r="D107" s="21" t="s">
        <v>625</v>
      </c>
      <c r="E107" s="21" t="s">
        <v>190</v>
      </c>
      <c r="F107" s="20" t="s">
        <v>81</v>
      </c>
      <c r="G107" s="20" t="s">
        <v>136</v>
      </c>
      <c r="H107" s="21" t="s">
        <v>626</v>
      </c>
      <c r="I107" s="21" t="s">
        <v>627</v>
      </c>
      <c r="J107" s="21" t="s">
        <v>117</v>
      </c>
      <c r="K107" s="21" t="s">
        <v>628</v>
      </c>
      <c r="L107" s="22"/>
      <c r="M107" s="23" t="s">
        <v>39</v>
      </c>
      <c r="N107" s="22"/>
      <c r="O107" s="24"/>
      <c r="P107" s="22"/>
      <c r="Q107" s="22"/>
    </row>
    <row r="108" customFormat="false" ht="61.5" hidden="false" customHeight="true" outlineLevel="0" collapsed="false">
      <c r="A108" s="20" t="s">
        <v>629</v>
      </c>
      <c r="B108" s="21" t="s">
        <v>48</v>
      </c>
      <c r="C108" s="21" t="s">
        <v>630</v>
      </c>
      <c r="D108" s="21" t="s">
        <v>631</v>
      </c>
      <c r="E108" s="21" t="s">
        <v>190</v>
      </c>
      <c r="F108" s="20" t="s">
        <v>80</v>
      </c>
      <c r="G108" s="20" t="s">
        <v>136</v>
      </c>
      <c r="H108" s="21" t="s">
        <v>117</v>
      </c>
      <c r="I108" s="21" t="s">
        <v>632</v>
      </c>
      <c r="J108" s="21" t="s">
        <v>117</v>
      </c>
      <c r="K108" s="21" t="s">
        <v>633</v>
      </c>
      <c r="L108" s="22"/>
      <c r="M108" s="23" t="s">
        <v>39</v>
      </c>
      <c r="N108" s="22"/>
      <c r="O108" s="24"/>
      <c r="P108" s="22"/>
      <c r="Q108" s="22"/>
    </row>
    <row r="109" customFormat="false" ht="33.75" hidden="false" customHeight="true" outlineLevel="0" collapsed="false">
      <c r="A109" s="20" t="s">
        <v>634</v>
      </c>
      <c r="B109" s="21" t="s">
        <v>48</v>
      </c>
      <c r="C109" s="21" t="s">
        <v>630</v>
      </c>
      <c r="D109" s="21" t="s">
        <v>635</v>
      </c>
      <c r="E109" s="21" t="s">
        <v>190</v>
      </c>
      <c r="F109" s="20" t="s">
        <v>81</v>
      </c>
      <c r="G109" s="20" t="s">
        <v>136</v>
      </c>
      <c r="H109" s="21" t="s">
        <v>636</v>
      </c>
      <c r="I109" s="21" t="s">
        <v>637</v>
      </c>
      <c r="J109" s="21" t="s">
        <v>117</v>
      </c>
      <c r="K109" s="21" t="s">
        <v>638</v>
      </c>
      <c r="L109" s="22"/>
      <c r="M109" s="23" t="s">
        <v>39</v>
      </c>
      <c r="N109" s="22"/>
      <c r="O109" s="24"/>
      <c r="P109" s="22"/>
      <c r="Q109" s="22"/>
    </row>
    <row r="110" customFormat="false" ht="48" hidden="false" customHeight="true" outlineLevel="0" collapsed="false">
      <c r="A110" s="20" t="s">
        <v>639</v>
      </c>
      <c r="B110" s="21" t="s">
        <v>48</v>
      </c>
      <c r="C110" s="21" t="s">
        <v>630</v>
      </c>
      <c r="D110" s="21" t="s">
        <v>640</v>
      </c>
      <c r="E110" s="21" t="s">
        <v>190</v>
      </c>
      <c r="F110" s="20" t="s">
        <v>79</v>
      </c>
      <c r="G110" s="20" t="s">
        <v>136</v>
      </c>
      <c r="H110" s="21" t="s">
        <v>117</v>
      </c>
      <c r="I110" s="21" t="s">
        <v>641</v>
      </c>
      <c r="J110" s="21" t="s">
        <v>117</v>
      </c>
      <c r="K110" s="21" t="s">
        <v>642</v>
      </c>
      <c r="L110" s="22"/>
      <c r="M110" s="23" t="s">
        <v>39</v>
      </c>
      <c r="N110" s="22"/>
      <c r="O110" s="24"/>
      <c r="P110" s="22"/>
      <c r="Q110" s="22"/>
    </row>
    <row r="111" customFormat="false" ht="48" hidden="false" customHeight="true" outlineLevel="0" collapsed="false">
      <c r="A111" s="20" t="s">
        <v>643</v>
      </c>
      <c r="B111" s="21" t="s">
        <v>48</v>
      </c>
      <c r="C111" s="21" t="s">
        <v>644</v>
      </c>
      <c r="D111" s="21" t="s">
        <v>645</v>
      </c>
      <c r="E111" s="21" t="s">
        <v>190</v>
      </c>
      <c r="F111" s="20" t="s">
        <v>80</v>
      </c>
      <c r="G111" s="20" t="s">
        <v>136</v>
      </c>
      <c r="H111" s="21" t="s">
        <v>117</v>
      </c>
      <c r="I111" s="21" t="s">
        <v>646</v>
      </c>
      <c r="J111" s="21" t="s">
        <v>117</v>
      </c>
      <c r="K111" s="21" t="s">
        <v>647</v>
      </c>
      <c r="L111" s="22"/>
      <c r="M111" s="23" t="s">
        <v>39</v>
      </c>
      <c r="N111" s="22"/>
      <c r="O111" s="24"/>
      <c r="P111" s="22"/>
      <c r="Q111" s="22"/>
    </row>
    <row r="112" customFormat="false" ht="33.75" hidden="false" customHeight="true" outlineLevel="0" collapsed="false">
      <c r="A112" s="20" t="s">
        <v>648</v>
      </c>
      <c r="B112" s="21" t="s">
        <v>48</v>
      </c>
      <c r="C112" s="21" t="s">
        <v>649</v>
      </c>
      <c r="D112" s="21" t="s">
        <v>650</v>
      </c>
      <c r="E112" s="21" t="s">
        <v>190</v>
      </c>
      <c r="F112" s="20" t="s">
        <v>80</v>
      </c>
      <c r="G112" s="20" t="s">
        <v>114</v>
      </c>
      <c r="H112" s="21" t="s">
        <v>117</v>
      </c>
      <c r="I112" s="21" t="s">
        <v>651</v>
      </c>
      <c r="J112" s="21" t="s">
        <v>117</v>
      </c>
      <c r="K112" s="21" t="s">
        <v>652</v>
      </c>
      <c r="L112" s="22"/>
      <c r="M112" s="23" t="s">
        <v>39</v>
      </c>
      <c r="N112" s="22"/>
      <c r="O112" s="24"/>
      <c r="P112" s="22"/>
      <c r="Q112" s="22"/>
    </row>
    <row r="113" customFormat="false" ht="33.75" hidden="false" customHeight="true" outlineLevel="0" collapsed="false">
      <c r="A113" s="20" t="s">
        <v>653</v>
      </c>
      <c r="B113" s="21" t="s">
        <v>48</v>
      </c>
      <c r="C113" s="21" t="s">
        <v>334</v>
      </c>
      <c r="D113" s="21" t="s">
        <v>654</v>
      </c>
      <c r="E113" s="21" t="s">
        <v>190</v>
      </c>
      <c r="F113" s="20" t="s">
        <v>80</v>
      </c>
      <c r="G113" s="20" t="s">
        <v>106</v>
      </c>
      <c r="H113" s="21" t="s">
        <v>655</v>
      </c>
      <c r="I113" s="21" t="s">
        <v>563</v>
      </c>
      <c r="J113" s="21" t="s">
        <v>117</v>
      </c>
      <c r="K113" s="21" t="s">
        <v>656</v>
      </c>
      <c r="L113" s="22"/>
      <c r="M113" s="23" t="s">
        <v>39</v>
      </c>
      <c r="N113" s="22"/>
      <c r="O113" s="24"/>
      <c r="P113" s="22"/>
      <c r="Q113" s="22"/>
    </row>
    <row r="114" customFormat="false" ht="48" hidden="false" customHeight="true" outlineLevel="0" collapsed="false">
      <c r="A114" s="20" t="s">
        <v>657</v>
      </c>
      <c r="B114" s="21" t="s">
        <v>48</v>
      </c>
      <c r="C114" s="21" t="s">
        <v>334</v>
      </c>
      <c r="D114" s="21" t="s">
        <v>658</v>
      </c>
      <c r="E114" s="21" t="s">
        <v>190</v>
      </c>
      <c r="F114" s="20" t="s">
        <v>80</v>
      </c>
      <c r="G114" s="20" t="s">
        <v>136</v>
      </c>
      <c r="H114" s="21" t="s">
        <v>659</v>
      </c>
      <c r="I114" s="21" t="s">
        <v>660</v>
      </c>
      <c r="J114" s="21" t="s">
        <v>117</v>
      </c>
      <c r="K114" s="21" t="s">
        <v>661</v>
      </c>
      <c r="L114" s="22"/>
      <c r="M114" s="23" t="s">
        <v>39</v>
      </c>
      <c r="N114" s="22"/>
      <c r="O114" s="24"/>
      <c r="P114" s="22"/>
      <c r="Q114" s="22"/>
    </row>
    <row r="115" customFormat="false" ht="33.75" hidden="false" customHeight="true" outlineLevel="0" collapsed="false">
      <c r="A115" s="20" t="s">
        <v>662</v>
      </c>
      <c r="B115" s="21" t="s">
        <v>48</v>
      </c>
      <c r="C115" s="21" t="s">
        <v>334</v>
      </c>
      <c r="D115" s="21" t="s">
        <v>663</v>
      </c>
      <c r="E115" s="21" t="s">
        <v>664</v>
      </c>
      <c r="F115" s="20" t="s">
        <v>79</v>
      </c>
      <c r="G115" s="20" t="s">
        <v>121</v>
      </c>
      <c r="H115" s="21" t="s">
        <v>665</v>
      </c>
      <c r="I115" s="21" t="s">
        <v>666</v>
      </c>
      <c r="J115" s="21" t="s">
        <v>117</v>
      </c>
      <c r="K115" s="21" t="s">
        <v>667</v>
      </c>
      <c r="L115" s="22"/>
      <c r="M115" s="23" t="s">
        <v>39</v>
      </c>
      <c r="N115" s="22"/>
      <c r="O115" s="24"/>
      <c r="P115" s="22"/>
      <c r="Q115" s="22"/>
    </row>
    <row r="116" customFormat="false" ht="33.75" hidden="false" customHeight="true" outlineLevel="0" collapsed="false">
      <c r="A116" s="20" t="s">
        <v>668</v>
      </c>
      <c r="B116" s="21" t="s">
        <v>48</v>
      </c>
      <c r="C116" s="21" t="s">
        <v>669</v>
      </c>
      <c r="D116" s="21" t="s">
        <v>670</v>
      </c>
      <c r="E116" s="21" t="s">
        <v>671</v>
      </c>
      <c r="F116" s="20" t="s">
        <v>79</v>
      </c>
      <c r="G116" s="20" t="s">
        <v>121</v>
      </c>
      <c r="H116" s="21" t="s">
        <v>672</v>
      </c>
      <c r="I116" s="21" t="s">
        <v>673</v>
      </c>
      <c r="J116" s="21" t="s">
        <v>117</v>
      </c>
      <c r="K116" s="21" t="s">
        <v>674</v>
      </c>
      <c r="L116" s="22"/>
      <c r="M116" s="23" t="s">
        <v>39</v>
      </c>
      <c r="N116" s="22"/>
      <c r="O116" s="24"/>
      <c r="P116" s="22"/>
      <c r="Q116" s="22"/>
    </row>
    <row r="117" customFormat="false" ht="33.75" hidden="false" customHeight="true" outlineLevel="0" collapsed="false">
      <c r="A117" s="20" t="s">
        <v>675</v>
      </c>
      <c r="B117" s="21" t="s">
        <v>48</v>
      </c>
      <c r="C117" s="21" t="s">
        <v>121</v>
      </c>
      <c r="D117" s="21" t="s">
        <v>676</v>
      </c>
      <c r="E117" s="21" t="s">
        <v>190</v>
      </c>
      <c r="F117" s="20" t="s">
        <v>81</v>
      </c>
      <c r="G117" s="20" t="s">
        <v>121</v>
      </c>
      <c r="H117" s="21" t="s">
        <v>117</v>
      </c>
      <c r="I117" s="21" t="s">
        <v>677</v>
      </c>
      <c r="J117" s="21" t="s">
        <v>117</v>
      </c>
      <c r="K117" s="21" t="s">
        <v>678</v>
      </c>
      <c r="L117" s="22"/>
      <c r="M117" s="23" t="s">
        <v>39</v>
      </c>
      <c r="N117" s="22"/>
      <c r="O117" s="24"/>
      <c r="P117" s="22"/>
      <c r="Q117" s="22"/>
    </row>
    <row r="118" customFormat="false" ht="33.75" hidden="false" customHeight="true" outlineLevel="0" collapsed="false">
      <c r="A118" s="20" t="s">
        <v>679</v>
      </c>
      <c r="B118" s="21" t="s">
        <v>49</v>
      </c>
      <c r="C118" s="21" t="s">
        <v>680</v>
      </c>
      <c r="D118" s="21" t="s">
        <v>681</v>
      </c>
      <c r="E118" s="21" t="s">
        <v>459</v>
      </c>
      <c r="F118" s="20" t="s">
        <v>79</v>
      </c>
      <c r="G118" s="20" t="s">
        <v>106</v>
      </c>
      <c r="H118" s="21" t="s">
        <v>682</v>
      </c>
      <c r="I118" s="21" t="s">
        <v>683</v>
      </c>
      <c r="J118" s="21" t="s">
        <v>117</v>
      </c>
      <c r="K118" s="21" t="s">
        <v>684</v>
      </c>
      <c r="L118" s="22"/>
      <c r="M118" s="23" t="s">
        <v>39</v>
      </c>
      <c r="N118" s="22"/>
      <c r="O118" s="24"/>
      <c r="P118" s="22"/>
      <c r="Q118" s="22"/>
    </row>
    <row r="119" customFormat="false" ht="33.75" hidden="false" customHeight="true" outlineLevel="0" collapsed="false">
      <c r="A119" s="20" t="s">
        <v>685</v>
      </c>
      <c r="B119" s="21" t="s">
        <v>49</v>
      </c>
      <c r="C119" s="21" t="s">
        <v>680</v>
      </c>
      <c r="D119" s="21" t="s">
        <v>686</v>
      </c>
      <c r="E119" s="21" t="s">
        <v>459</v>
      </c>
      <c r="F119" s="20" t="s">
        <v>80</v>
      </c>
      <c r="G119" s="20" t="s">
        <v>114</v>
      </c>
      <c r="H119" s="21" t="s">
        <v>117</v>
      </c>
      <c r="I119" s="21" t="s">
        <v>687</v>
      </c>
      <c r="J119" s="21" t="s">
        <v>117</v>
      </c>
      <c r="K119" s="21" t="s">
        <v>688</v>
      </c>
      <c r="L119" s="22"/>
      <c r="M119" s="23" t="s">
        <v>39</v>
      </c>
      <c r="N119" s="22"/>
      <c r="O119" s="24"/>
      <c r="P119" s="22"/>
      <c r="Q119" s="22"/>
    </row>
    <row r="120" customFormat="false" ht="33.75" hidden="false" customHeight="true" outlineLevel="0" collapsed="false">
      <c r="A120" s="20" t="s">
        <v>689</v>
      </c>
      <c r="B120" s="21" t="s">
        <v>49</v>
      </c>
      <c r="C120" s="21" t="s">
        <v>680</v>
      </c>
      <c r="D120" s="21" t="s">
        <v>690</v>
      </c>
      <c r="E120" s="21" t="s">
        <v>459</v>
      </c>
      <c r="F120" s="20" t="s">
        <v>81</v>
      </c>
      <c r="G120" s="20" t="s">
        <v>136</v>
      </c>
      <c r="H120" s="21" t="s">
        <v>117</v>
      </c>
      <c r="I120" s="21" t="s">
        <v>691</v>
      </c>
      <c r="J120" s="21" t="s">
        <v>117</v>
      </c>
      <c r="K120" s="21" t="s">
        <v>692</v>
      </c>
      <c r="L120" s="22"/>
      <c r="M120" s="23" t="s">
        <v>39</v>
      </c>
      <c r="N120" s="22"/>
      <c r="O120" s="24"/>
      <c r="P120" s="22"/>
      <c r="Q120" s="22"/>
    </row>
    <row r="121" customFormat="false" ht="33.75" hidden="false" customHeight="true" outlineLevel="0" collapsed="false">
      <c r="A121" s="20" t="s">
        <v>693</v>
      </c>
      <c r="B121" s="21" t="s">
        <v>49</v>
      </c>
      <c r="C121" s="21" t="s">
        <v>694</v>
      </c>
      <c r="D121" s="21" t="s">
        <v>695</v>
      </c>
      <c r="E121" s="21" t="s">
        <v>696</v>
      </c>
      <c r="F121" s="20" t="s">
        <v>79</v>
      </c>
      <c r="G121" s="20" t="s">
        <v>121</v>
      </c>
      <c r="H121" s="21" t="s">
        <v>697</v>
      </c>
      <c r="I121" s="21" t="s">
        <v>698</v>
      </c>
      <c r="J121" s="21" t="s">
        <v>117</v>
      </c>
      <c r="K121" s="21" t="s">
        <v>699</v>
      </c>
      <c r="L121" s="22"/>
      <c r="M121" s="23" t="s">
        <v>39</v>
      </c>
      <c r="N121" s="22"/>
      <c r="O121" s="24"/>
      <c r="P121" s="22"/>
      <c r="Q121" s="22"/>
    </row>
    <row r="122" customFormat="false" ht="33.75" hidden="false" customHeight="true" outlineLevel="0" collapsed="false">
      <c r="A122" s="20" t="s">
        <v>700</v>
      </c>
      <c r="B122" s="21" t="s">
        <v>49</v>
      </c>
      <c r="C122" s="21" t="s">
        <v>694</v>
      </c>
      <c r="D122" s="21" t="s">
        <v>701</v>
      </c>
      <c r="E122" s="21" t="s">
        <v>696</v>
      </c>
      <c r="F122" s="20" t="s">
        <v>79</v>
      </c>
      <c r="G122" s="20" t="s">
        <v>121</v>
      </c>
      <c r="H122" s="21" t="s">
        <v>702</v>
      </c>
      <c r="I122" s="21" t="s">
        <v>703</v>
      </c>
      <c r="J122" s="21" t="s">
        <v>117</v>
      </c>
      <c r="K122" s="21" t="s">
        <v>704</v>
      </c>
      <c r="L122" s="22"/>
      <c r="M122" s="23" t="s">
        <v>39</v>
      </c>
      <c r="N122" s="22"/>
      <c r="O122" s="24"/>
      <c r="P122" s="22"/>
      <c r="Q122" s="22"/>
    </row>
    <row r="123" customFormat="false" ht="33.75" hidden="false" customHeight="true" outlineLevel="0" collapsed="false">
      <c r="A123" s="20" t="s">
        <v>705</v>
      </c>
      <c r="B123" s="21" t="s">
        <v>49</v>
      </c>
      <c r="C123" s="21" t="s">
        <v>694</v>
      </c>
      <c r="D123" s="21" t="s">
        <v>706</v>
      </c>
      <c r="E123" s="21" t="s">
        <v>459</v>
      </c>
      <c r="F123" s="20" t="s">
        <v>81</v>
      </c>
      <c r="G123" s="20" t="s">
        <v>106</v>
      </c>
      <c r="H123" s="21" t="s">
        <v>707</v>
      </c>
      <c r="I123" s="21" t="s">
        <v>708</v>
      </c>
      <c r="J123" s="21" t="s">
        <v>117</v>
      </c>
      <c r="K123" s="21" t="s">
        <v>709</v>
      </c>
      <c r="L123" s="22"/>
      <c r="M123" s="23" t="s">
        <v>39</v>
      </c>
      <c r="N123" s="22"/>
      <c r="O123" s="24"/>
      <c r="P123" s="22"/>
      <c r="Q123" s="22"/>
    </row>
    <row r="124" customFormat="false" ht="48" hidden="false" customHeight="true" outlineLevel="0" collapsed="false">
      <c r="A124" s="20" t="s">
        <v>710</v>
      </c>
      <c r="B124" s="21" t="s">
        <v>49</v>
      </c>
      <c r="C124" s="21" t="s">
        <v>711</v>
      </c>
      <c r="D124" s="21" t="s">
        <v>712</v>
      </c>
      <c r="E124" s="21" t="s">
        <v>696</v>
      </c>
      <c r="F124" s="20" t="s">
        <v>79</v>
      </c>
      <c r="G124" s="20" t="s">
        <v>106</v>
      </c>
      <c r="H124" s="21" t="s">
        <v>713</v>
      </c>
      <c r="I124" s="21" t="s">
        <v>714</v>
      </c>
      <c r="J124" s="21" t="s">
        <v>715</v>
      </c>
      <c r="K124" s="21" t="s">
        <v>716</v>
      </c>
      <c r="L124" s="22"/>
      <c r="M124" s="23" t="s">
        <v>39</v>
      </c>
      <c r="N124" s="22"/>
      <c r="O124" s="24"/>
      <c r="P124" s="22"/>
      <c r="Q124" s="22"/>
    </row>
    <row r="125" customFormat="false" ht="33.75" hidden="false" customHeight="true" outlineLevel="0" collapsed="false">
      <c r="A125" s="20" t="s">
        <v>717</v>
      </c>
      <c r="B125" s="21" t="s">
        <v>49</v>
      </c>
      <c r="C125" s="21" t="s">
        <v>711</v>
      </c>
      <c r="D125" s="21" t="s">
        <v>718</v>
      </c>
      <c r="E125" s="21" t="s">
        <v>696</v>
      </c>
      <c r="F125" s="20" t="s">
        <v>80</v>
      </c>
      <c r="G125" s="20" t="s">
        <v>114</v>
      </c>
      <c r="H125" s="21" t="s">
        <v>117</v>
      </c>
      <c r="I125" s="21" t="s">
        <v>719</v>
      </c>
      <c r="J125" s="21" t="s">
        <v>117</v>
      </c>
      <c r="K125" s="21" t="s">
        <v>720</v>
      </c>
      <c r="L125" s="22"/>
      <c r="M125" s="23" t="s">
        <v>39</v>
      </c>
      <c r="N125" s="22"/>
      <c r="O125" s="24"/>
      <c r="P125" s="22"/>
      <c r="Q125" s="22"/>
    </row>
    <row r="126" customFormat="false" ht="33.75" hidden="false" customHeight="true" outlineLevel="0" collapsed="false">
      <c r="A126" s="20" t="s">
        <v>721</v>
      </c>
      <c r="B126" s="21" t="s">
        <v>49</v>
      </c>
      <c r="C126" s="21" t="s">
        <v>711</v>
      </c>
      <c r="D126" s="21" t="s">
        <v>722</v>
      </c>
      <c r="E126" s="21" t="s">
        <v>696</v>
      </c>
      <c r="F126" s="20" t="s">
        <v>80</v>
      </c>
      <c r="G126" s="20" t="s">
        <v>136</v>
      </c>
      <c r="H126" s="21" t="s">
        <v>117</v>
      </c>
      <c r="I126" s="21" t="s">
        <v>723</v>
      </c>
      <c r="J126" s="21" t="s">
        <v>117</v>
      </c>
      <c r="K126" s="21" t="s">
        <v>724</v>
      </c>
      <c r="L126" s="22"/>
      <c r="M126" s="23" t="s">
        <v>39</v>
      </c>
      <c r="N126" s="22"/>
      <c r="O126" s="24"/>
      <c r="P126" s="22"/>
      <c r="Q126" s="22"/>
    </row>
    <row r="127" customFormat="false" ht="48" hidden="false" customHeight="true" outlineLevel="0" collapsed="false">
      <c r="A127" s="20" t="s">
        <v>725</v>
      </c>
      <c r="B127" s="21" t="s">
        <v>49</v>
      </c>
      <c r="C127" s="21" t="s">
        <v>711</v>
      </c>
      <c r="D127" s="21" t="s">
        <v>726</v>
      </c>
      <c r="E127" s="21" t="s">
        <v>727</v>
      </c>
      <c r="F127" s="20" t="s">
        <v>80</v>
      </c>
      <c r="G127" s="20" t="s">
        <v>106</v>
      </c>
      <c r="H127" s="21" t="s">
        <v>728</v>
      </c>
      <c r="I127" s="21" t="s">
        <v>729</v>
      </c>
      <c r="J127" s="21" t="s">
        <v>117</v>
      </c>
      <c r="K127" s="21" t="s">
        <v>730</v>
      </c>
      <c r="L127" s="22"/>
      <c r="M127" s="23" t="s">
        <v>39</v>
      </c>
      <c r="N127" s="22"/>
      <c r="O127" s="24"/>
      <c r="P127" s="22"/>
      <c r="Q127" s="22"/>
    </row>
    <row r="128" customFormat="false" ht="33.75" hidden="false" customHeight="true" outlineLevel="0" collapsed="false">
      <c r="A128" s="20" t="s">
        <v>731</v>
      </c>
      <c r="B128" s="21" t="s">
        <v>49</v>
      </c>
      <c r="C128" s="21" t="s">
        <v>711</v>
      </c>
      <c r="D128" s="21" t="s">
        <v>732</v>
      </c>
      <c r="E128" s="21" t="s">
        <v>178</v>
      </c>
      <c r="F128" s="20" t="s">
        <v>79</v>
      </c>
      <c r="G128" s="20" t="s">
        <v>121</v>
      </c>
      <c r="H128" s="21" t="s">
        <v>117</v>
      </c>
      <c r="I128" s="21" t="s">
        <v>733</v>
      </c>
      <c r="J128" s="21" t="s">
        <v>117</v>
      </c>
      <c r="K128" s="21" t="s">
        <v>734</v>
      </c>
      <c r="L128" s="22"/>
      <c r="M128" s="23" t="s">
        <v>39</v>
      </c>
      <c r="N128" s="22"/>
      <c r="O128" s="24"/>
      <c r="P128" s="22"/>
      <c r="Q128" s="22"/>
    </row>
    <row r="129" customFormat="false" ht="33.75" hidden="false" customHeight="true" outlineLevel="0" collapsed="false">
      <c r="A129" s="20" t="s">
        <v>735</v>
      </c>
      <c r="B129" s="21" t="s">
        <v>49</v>
      </c>
      <c r="C129" s="21" t="s">
        <v>711</v>
      </c>
      <c r="D129" s="21" t="s">
        <v>736</v>
      </c>
      <c r="E129" s="21" t="s">
        <v>737</v>
      </c>
      <c r="F129" s="20" t="s">
        <v>80</v>
      </c>
      <c r="G129" s="20" t="s">
        <v>121</v>
      </c>
      <c r="H129" s="21" t="s">
        <v>117</v>
      </c>
      <c r="I129" s="21" t="s">
        <v>738</v>
      </c>
      <c r="J129" s="21" t="s">
        <v>117</v>
      </c>
      <c r="K129" s="21" t="s">
        <v>739</v>
      </c>
      <c r="L129" s="22"/>
      <c r="M129" s="23" t="s">
        <v>39</v>
      </c>
      <c r="N129" s="22"/>
      <c r="O129" s="24"/>
      <c r="P129" s="22"/>
      <c r="Q129" s="22"/>
    </row>
    <row r="130" customFormat="false" ht="33.75" hidden="false" customHeight="true" outlineLevel="0" collapsed="false">
      <c r="A130" s="20" t="s">
        <v>740</v>
      </c>
      <c r="B130" s="21" t="s">
        <v>49</v>
      </c>
      <c r="C130" s="21" t="s">
        <v>741</v>
      </c>
      <c r="D130" s="21" t="s">
        <v>742</v>
      </c>
      <c r="E130" s="21" t="s">
        <v>178</v>
      </c>
      <c r="F130" s="20" t="s">
        <v>79</v>
      </c>
      <c r="G130" s="20" t="s">
        <v>106</v>
      </c>
      <c r="H130" s="21" t="s">
        <v>743</v>
      </c>
      <c r="I130" s="21" t="s">
        <v>744</v>
      </c>
      <c r="J130" s="21" t="s">
        <v>117</v>
      </c>
      <c r="K130" s="21" t="s">
        <v>745</v>
      </c>
      <c r="L130" s="22"/>
      <c r="M130" s="23" t="s">
        <v>39</v>
      </c>
      <c r="N130" s="22"/>
      <c r="O130" s="24"/>
      <c r="P130" s="22"/>
      <c r="Q130" s="22"/>
    </row>
    <row r="131" customFormat="false" ht="33.75" hidden="false" customHeight="true" outlineLevel="0" collapsed="false">
      <c r="A131" s="20" t="s">
        <v>746</v>
      </c>
      <c r="B131" s="21" t="s">
        <v>49</v>
      </c>
      <c r="C131" s="21" t="s">
        <v>741</v>
      </c>
      <c r="D131" s="21" t="s">
        <v>747</v>
      </c>
      <c r="E131" s="21" t="s">
        <v>178</v>
      </c>
      <c r="F131" s="20" t="s">
        <v>80</v>
      </c>
      <c r="G131" s="20" t="s">
        <v>136</v>
      </c>
      <c r="H131" s="21" t="s">
        <v>748</v>
      </c>
      <c r="I131" s="21" t="s">
        <v>749</v>
      </c>
      <c r="J131" s="21" t="s">
        <v>117</v>
      </c>
      <c r="K131" s="21" t="s">
        <v>750</v>
      </c>
      <c r="L131" s="22"/>
      <c r="M131" s="23" t="s">
        <v>39</v>
      </c>
      <c r="N131" s="22"/>
      <c r="O131" s="24"/>
      <c r="P131" s="22"/>
      <c r="Q131" s="22"/>
    </row>
    <row r="132" customFormat="false" ht="33.75" hidden="false" customHeight="true" outlineLevel="0" collapsed="false">
      <c r="A132" s="20" t="s">
        <v>751</v>
      </c>
      <c r="B132" s="21" t="s">
        <v>49</v>
      </c>
      <c r="C132" s="21" t="s">
        <v>741</v>
      </c>
      <c r="D132" s="21" t="s">
        <v>752</v>
      </c>
      <c r="E132" s="21" t="s">
        <v>696</v>
      </c>
      <c r="F132" s="20" t="s">
        <v>79</v>
      </c>
      <c r="G132" s="20" t="s">
        <v>106</v>
      </c>
      <c r="H132" s="21" t="s">
        <v>753</v>
      </c>
      <c r="I132" s="21" t="s">
        <v>754</v>
      </c>
      <c r="J132" s="21" t="s">
        <v>117</v>
      </c>
      <c r="K132" s="21" t="s">
        <v>755</v>
      </c>
      <c r="L132" s="22"/>
      <c r="M132" s="23" t="s">
        <v>39</v>
      </c>
      <c r="N132" s="22"/>
      <c r="O132" s="24"/>
      <c r="P132" s="22"/>
      <c r="Q132" s="22"/>
    </row>
    <row r="133" customFormat="false" ht="33.75" hidden="false" customHeight="true" outlineLevel="0" collapsed="false">
      <c r="A133" s="20" t="s">
        <v>756</v>
      </c>
      <c r="B133" s="21" t="s">
        <v>49</v>
      </c>
      <c r="C133" s="21" t="s">
        <v>741</v>
      </c>
      <c r="D133" s="21" t="s">
        <v>757</v>
      </c>
      <c r="E133" s="21" t="s">
        <v>696</v>
      </c>
      <c r="F133" s="20" t="s">
        <v>80</v>
      </c>
      <c r="G133" s="20" t="s">
        <v>136</v>
      </c>
      <c r="H133" s="21" t="s">
        <v>758</v>
      </c>
      <c r="I133" s="21" t="s">
        <v>759</v>
      </c>
      <c r="J133" s="21" t="s">
        <v>117</v>
      </c>
      <c r="K133" s="21" t="s">
        <v>760</v>
      </c>
      <c r="L133" s="22"/>
      <c r="M133" s="23" t="s">
        <v>39</v>
      </c>
      <c r="N133" s="22"/>
      <c r="O133" s="24"/>
      <c r="P133" s="22"/>
      <c r="Q133" s="22"/>
    </row>
    <row r="134" customFormat="false" ht="48" hidden="false" customHeight="true" outlineLevel="0" collapsed="false">
      <c r="A134" s="20" t="s">
        <v>761</v>
      </c>
      <c r="B134" s="21" t="s">
        <v>49</v>
      </c>
      <c r="C134" s="21" t="s">
        <v>762</v>
      </c>
      <c r="D134" s="21" t="s">
        <v>763</v>
      </c>
      <c r="E134" s="21" t="s">
        <v>764</v>
      </c>
      <c r="F134" s="20" t="s">
        <v>79</v>
      </c>
      <c r="G134" s="20" t="s">
        <v>106</v>
      </c>
      <c r="H134" s="21" t="s">
        <v>765</v>
      </c>
      <c r="I134" s="21" t="s">
        <v>766</v>
      </c>
      <c r="J134" s="21" t="s">
        <v>117</v>
      </c>
      <c r="K134" s="21" t="s">
        <v>767</v>
      </c>
      <c r="L134" s="22"/>
      <c r="M134" s="23" t="s">
        <v>39</v>
      </c>
      <c r="N134" s="22"/>
      <c r="O134" s="24"/>
      <c r="P134" s="22"/>
      <c r="Q134" s="22"/>
    </row>
    <row r="135" customFormat="false" ht="33.75" hidden="false" customHeight="true" outlineLevel="0" collapsed="false">
      <c r="A135" s="20" t="s">
        <v>768</v>
      </c>
      <c r="B135" s="21" t="s">
        <v>49</v>
      </c>
      <c r="C135" s="21" t="s">
        <v>769</v>
      </c>
      <c r="D135" s="21" t="s">
        <v>770</v>
      </c>
      <c r="E135" s="21" t="s">
        <v>696</v>
      </c>
      <c r="F135" s="20" t="s">
        <v>80</v>
      </c>
      <c r="G135" s="20" t="s">
        <v>106</v>
      </c>
      <c r="H135" s="21" t="s">
        <v>765</v>
      </c>
      <c r="I135" s="21" t="s">
        <v>771</v>
      </c>
      <c r="J135" s="21" t="s">
        <v>117</v>
      </c>
      <c r="K135" s="21" t="s">
        <v>772</v>
      </c>
      <c r="L135" s="22"/>
      <c r="M135" s="23" t="s">
        <v>39</v>
      </c>
      <c r="N135" s="22"/>
      <c r="O135" s="24"/>
      <c r="P135" s="22"/>
      <c r="Q135" s="22"/>
    </row>
    <row r="136" customFormat="false" ht="48" hidden="false" customHeight="true" outlineLevel="0" collapsed="false">
      <c r="A136" s="20" t="s">
        <v>773</v>
      </c>
      <c r="B136" s="21" t="s">
        <v>49</v>
      </c>
      <c r="C136" s="21" t="s">
        <v>769</v>
      </c>
      <c r="D136" s="21" t="s">
        <v>774</v>
      </c>
      <c r="E136" s="21" t="s">
        <v>696</v>
      </c>
      <c r="F136" s="20" t="s">
        <v>81</v>
      </c>
      <c r="G136" s="20" t="s">
        <v>136</v>
      </c>
      <c r="H136" s="21" t="s">
        <v>117</v>
      </c>
      <c r="I136" s="21" t="s">
        <v>775</v>
      </c>
      <c r="J136" s="21" t="s">
        <v>117</v>
      </c>
      <c r="K136" s="21" t="s">
        <v>776</v>
      </c>
      <c r="L136" s="22"/>
      <c r="M136" s="23" t="s">
        <v>39</v>
      </c>
      <c r="N136" s="22"/>
      <c r="O136" s="24"/>
      <c r="P136" s="22"/>
      <c r="Q136" s="22"/>
    </row>
    <row r="137" customFormat="false" ht="33.75" hidden="false" customHeight="true" outlineLevel="0" collapsed="false">
      <c r="A137" s="20" t="s">
        <v>777</v>
      </c>
      <c r="B137" s="21" t="s">
        <v>49</v>
      </c>
      <c r="C137" s="21" t="s">
        <v>769</v>
      </c>
      <c r="D137" s="21" t="s">
        <v>778</v>
      </c>
      <c r="E137" s="21" t="s">
        <v>190</v>
      </c>
      <c r="F137" s="20" t="s">
        <v>80</v>
      </c>
      <c r="G137" s="20" t="s">
        <v>121</v>
      </c>
      <c r="H137" s="21" t="s">
        <v>117</v>
      </c>
      <c r="I137" s="21" t="s">
        <v>779</v>
      </c>
      <c r="J137" s="21" t="s">
        <v>117</v>
      </c>
      <c r="K137" s="21" t="s">
        <v>780</v>
      </c>
      <c r="L137" s="22"/>
      <c r="M137" s="23" t="s">
        <v>39</v>
      </c>
      <c r="N137" s="22"/>
      <c r="O137" s="24"/>
      <c r="P137" s="22"/>
      <c r="Q137" s="22"/>
    </row>
    <row r="138" customFormat="false" ht="33.75" hidden="false" customHeight="true" outlineLevel="0" collapsed="false">
      <c r="A138" s="20" t="s">
        <v>781</v>
      </c>
      <c r="B138" s="21" t="s">
        <v>49</v>
      </c>
      <c r="C138" s="21" t="s">
        <v>782</v>
      </c>
      <c r="D138" s="21" t="s">
        <v>783</v>
      </c>
      <c r="E138" s="21" t="s">
        <v>178</v>
      </c>
      <c r="F138" s="20" t="s">
        <v>81</v>
      </c>
      <c r="G138" s="20" t="s">
        <v>136</v>
      </c>
      <c r="H138" s="21" t="s">
        <v>784</v>
      </c>
      <c r="I138" s="21" t="s">
        <v>785</v>
      </c>
      <c r="J138" s="21" t="s">
        <v>117</v>
      </c>
      <c r="K138" s="21" t="s">
        <v>786</v>
      </c>
      <c r="L138" s="22"/>
      <c r="M138" s="23" t="s">
        <v>39</v>
      </c>
      <c r="N138" s="22"/>
      <c r="O138" s="24"/>
      <c r="P138" s="22"/>
      <c r="Q138" s="22"/>
    </row>
    <row r="139" customFormat="false" ht="33.75" hidden="false" customHeight="true" outlineLevel="0" collapsed="false">
      <c r="A139" s="20" t="s">
        <v>787</v>
      </c>
      <c r="B139" s="21" t="s">
        <v>50</v>
      </c>
      <c r="C139" s="21" t="s">
        <v>788</v>
      </c>
      <c r="D139" s="21" t="s">
        <v>789</v>
      </c>
      <c r="E139" s="21" t="s">
        <v>178</v>
      </c>
      <c r="F139" s="20" t="s">
        <v>79</v>
      </c>
      <c r="G139" s="20" t="s">
        <v>106</v>
      </c>
      <c r="H139" s="21" t="s">
        <v>765</v>
      </c>
      <c r="I139" s="21" t="s">
        <v>790</v>
      </c>
      <c r="J139" s="21" t="s">
        <v>117</v>
      </c>
      <c r="K139" s="21" t="s">
        <v>791</v>
      </c>
      <c r="L139" s="22"/>
      <c r="M139" s="23" t="s">
        <v>39</v>
      </c>
      <c r="N139" s="22"/>
      <c r="O139" s="24"/>
      <c r="P139" s="22"/>
      <c r="Q139" s="22"/>
    </row>
    <row r="140" customFormat="false" ht="33.75" hidden="false" customHeight="true" outlineLevel="0" collapsed="false">
      <c r="A140" s="20" t="s">
        <v>792</v>
      </c>
      <c r="B140" s="21" t="s">
        <v>50</v>
      </c>
      <c r="C140" s="21" t="s">
        <v>788</v>
      </c>
      <c r="D140" s="21" t="s">
        <v>793</v>
      </c>
      <c r="E140" s="21" t="s">
        <v>178</v>
      </c>
      <c r="F140" s="20" t="s">
        <v>79</v>
      </c>
      <c r="G140" s="20" t="s">
        <v>136</v>
      </c>
      <c r="H140" s="21" t="s">
        <v>117</v>
      </c>
      <c r="I140" s="21" t="s">
        <v>794</v>
      </c>
      <c r="J140" s="21" t="s">
        <v>117</v>
      </c>
      <c r="K140" s="21" t="s">
        <v>795</v>
      </c>
      <c r="L140" s="22"/>
      <c r="M140" s="23" t="s">
        <v>39</v>
      </c>
      <c r="N140" s="22"/>
      <c r="O140" s="24"/>
      <c r="P140" s="22"/>
      <c r="Q140" s="22"/>
    </row>
    <row r="141" customFormat="false" ht="33.75" hidden="false" customHeight="true" outlineLevel="0" collapsed="false">
      <c r="A141" s="20" t="s">
        <v>796</v>
      </c>
      <c r="B141" s="21" t="s">
        <v>50</v>
      </c>
      <c r="C141" s="21" t="s">
        <v>788</v>
      </c>
      <c r="D141" s="21" t="s">
        <v>797</v>
      </c>
      <c r="E141" s="21" t="s">
        <v>178</v>
      </c>
      <c r="F141" s="20" t="s">
        <v>79</v>
      </c>
      <c r="G141" s="20" t="s">
        <v>136</v>
      </c>
      <c r="H141" s="21" t="s">
        <v>798</v>
      </c>
      <c r="I141" s="21" t="s">
        <v>799</v>
      </c>
      <c r="J141" s="21" t="s">
        <v>117</v>
      </c>
      <c r="K141" s="21" t="s">
        <v>800</v>
      </c>
      <c r="L141" s="22"/>
      <c r="M141" s="23" t="s">
        <v>39</v>
      </c>
      <c r="N141" s="22"/>
      <c r="O141" s="24"/>
      <c r="P141" s="22"/>
      <c r="Q141" s="22"/>
    </row>
    <row r="142" customFormat="false" ht="33.75" hidden="false" customHeight="true" outlineLevel="0" collapsed="false">
      <c r="A142" s="20" t="s">
        <v>801</v>
      </c>
      <c r="B142" s="21" t="s">
        <v>50</v>
      </c>
      <c r="C142" s="21" t="s">
        <v>788</v>
      </c>
      <c r="D142" s="21" t="s">
        <v>802</v>
      </c>
      <c r="E142" s="21" t="s">
        <v>178</v>
      </c>
      <c r="F142" s="20" t="s">
        <v>81</v>
      </c>
      <c r="G142" s="20" t="s">
        <v>106</v>
      </c>
      <c r="H142" s="21" t="s">
        <v>803</v>
      </c>
      <c r="I142" s="21" t="s">
        <v>804</v>
      </c>
      <c r="J142" s="21" t="s">
        <v>117</v>
      </c>
      <c r="K142" s="21" t="s">
        <v>805</v>
      </c>
      <c r="L142" s="22"/>
      <c r="M142" s="23" t="s">
        <v>39</v>
      </c>
      <c r="N142" s="22"/>
      <c r="O142" s="24"/>
      <c r="P142" s="22"/>
      <c r="Q142" s="22"/>
    </row>
    <row r="143" customFormat="false" ht="48" hidden="false" customHeight="true" outlineLevel="0" collapsed="false">
      <c r="A143" s="20" t="s">
        <v>806</v>
      </c>
      <c r="B143" s="21" t="s">
        <v>50</v>
      </c>
      <c r="C143" s="21" t="s">
        <v>176</v>
      </c>
      <c r="D143" s="21" t="s">
        <v>807</v>
      </c>
      <c r="E143" s="21" t="s">
        <v>459</v>
      </c>
      <c r="F143" s="20" t="s">
        <v>79</v>
      </c>
      <c r="G143" s="20" t="s">
        <v>106</v>
      </c>
      <c r="H143" s="21" t="s">
        <v>808</v>
      </c>
      <c r="I143" s="21" t="s">
        <v>809</v>
      </c>
      <c r="J143" s="21" t="s">
        <v>117</v>
      </c>
      <c r="K143" s="21" t="s">
        <v>810</v>
      </c>
      <c r="L143" s="22"/>
      <c r="M143" s="23" t="s">
        <v>39</v>
      </c>
      <c r="N143" s="22"/>
      <c r="O143" s="24"/>
      <c r="P143" s="22"/>
      <c r="Q143" s="22"/>
    </row>
    <row r="144" customFormat="false" ht="33.75" hidden="false" customHeight="true" outlineLevel="0" collapsed="false">
      <c r="A144" s="20" t="s">
        <v>811</v>
      </c>
      <c r="B144" s="21" t="s">
        <v>50</v>
      </c>
      <c r="C144" s="21" t="s">
        <v>176</v>
      </c>
      <c r="D144" s="21" t="s">
        <v>812</v>
      </c>
      <c r="E144" s="21" t="s">
        <v>459</v>
      </c>
      <c r="F144" s="20" t="s">
        <v>81</v>
      </c>
      <c r="G144" s="20" t="s">
        <v>136</v>
      </c>
      <c r="H144" s="21" t="s">
        <v>117</v>
      </c>
      <c r="I144" s="21" t="s">
        <v>813</v>
      </c>
      <c r="J144" s="21" t="s">
        <v>117</v>
      </c>
      <c r="K144" s="21" t="s">
        <v>814</v>
      </c>
      <c r="L144" s="22"/>
      <c r="M144" s="23" t="s">
        <v>39</v>
      </c>
      <c r="N144" s="22"/>
      <c r="O144" s="24"/>
      <c r="P144" s="22"/>
      <c r="Q144" s="22"/>
    </row>
    <row r="145" customFormat="false" ht="33.75" hidden="false" customHeight="true" outlineLevel="0" collapsed="false">
      <c r="A145" s="20" t="s">
        <v>815</v>
      </c>
      <c r="B145" s="21" t="s">
        <v>50</v>
      </c>
      <c r="C145" s="21" t="s">
        <v>176</v>
      </c>
      <c r="D145" s="21" t="s">
        <v>816</v>
      </c>
      <c r="E145" s="21" t="s">
        <v>178</v>
      </c>
      <c r="F145" s="20" t="s">
        <v>79</v>
      </c>
      <c r="G145" s="20" t="s">
        <v>121</v>
      </c>
      <c r="H145" s="21" t="s">
        <v>117</v>
      </c>
      <c r="I145" s="21" t="s">
        <v>817</v>
      </c>
      <c r="J145" s="21" t="s">
        <v>117</v>
      </c>
      <c r="K145" s="21" t="s">
        <v>818</v>
      </c>
      <c r="L145" s="22"/>
      <c r="M145" s="23" t="s">
        <v>39</v>
      </c>
      <c r="N145" s="22"/>
      <c r="O145" s="24"/>
      <c r="P145" s="22"/>
      <c r="Q145" s="22"/>
    </row>
    <row r="146" customFormat="false" ht="33.75" hidden="false" customHeight="true" outlineLevel="0" collapsed="false">
      <c r="A146" s="20" t="s">
        <v>819</v>
      </c>
      <c r="B146" s="21" t="s">
        <v>50</v>
      </c>
      <c r="C146" s="21" t="s">
        <v>820</v>
      </c>
      <c r="D146" s="21" t="s">
        <v>821</v>
      </c>
      <c r="E146" s="21" t="s">
        <v>190</v>
      </c>
      <c r="F146" s="20" t="s">
        <v>79</v>
      </c>
      <c r="G146" s="20" t="s">
        <v>106</v>
      </c>
      <c r="H146" s="21" t="s">
        <v>822</v>
      </c>
      <c r="I146" s="21" t="s">
        <v>823</v>
      </c>
      <c r="J146" s="21" t="s">
        <v>117</v>
      </c>
      <c r="K146" s="21" t="s">
        <v>824</v>
      </c>
      <c r="L146" s="22"/>
      <c r="M146" s="23" t="s">
        <v>39</v>
      </c>
      <c r="N146" s="22"/>
      <c r="O146" s="24"/>
      <c r="P146" s="22"/>
      <c r="Q146" s="22"/>
    </row>
    <row r="147" customFormat="false" ht="33.75" hidden="false" customHeight="true" outlineLevel="0" collapsed="false">
      <c r="A147" s="20" t="s">
        <v>825</v>
      </c>
      <c r="B147" s="21" t="s">
        <v>50</v>
      </c>
      <c r="C147" s="21" t="s">
        <v>820</v>
      </c>
      <c r="D147" s="21" t="s">
        <v>826</v>
      </c>
      <c r="E147" s="21" t="s">
        <v>664</v>
      </c>
      <c r="F147" s="20" t="s">
        <v>79</v>
      </c>
      <c r="G147" s="20" t="s">
        <v>121</v>
      </c>
      <c r="H147" s="21" t="s">
        <v>827</v>
      </c>
      <c r="I147" s="21" t="s">
        <v>828</v>
      </c>
      <c r="J147" s="21" t="s">
        <v>117</v>
      </c>
      <c r="K147" s="21" t="s">
        <v>829</v>
      </c>
      <c r="L147" s="22"/>
      <c r="M147" s="23" t="s">
        <v>39</v>
      </c>
      <c r="N147" s="22"/>
      <c r="O147" s="24"/>
      <c r="P147" s="22"/>
      <c r="Q147" s="22"/>
    </row>
    <row r="148" customFormat="false" ht="33.75" hidden="false" customHeight="true" outlineLevel="0" collapsed="false">
      <c r="A148" s="20" t="s">
        <v>830</v>
      </c>
      <c r="B148" s="21" t="s">
        <v>50</v>
      </c>
      <c r="C148" s="21" t="s">
        <v>820</v>
      </c>
      <c r="D148" s="21" t="s">
        <v>831</v>
      </c>
      <c r="E148" s="21" t="s">
        <v>178</v>
      </c>
      <c r="F148" s="20" t="s">
        <v>80</v>
      </c>
      <c r="G148" s="20" t="s">
        <v>106</v>
      </c>
      <c r="H148" s="21" t="s">
        <v>832</v>
      </c>
      <c r="I148" s="21" t="s">
        <v>833</v>
      </c>
      <c r="J148" s="21" t="s">
        <v>117</v>
      </c>
      <c r="K148" s="21" t="s">
        <v>834</v>
      </c>
      <c r="L148" s="22"/>
      <c r="M148" s="23" t="s">
        <v>39</v>
      </c>
      <c r="N148" s="22"/>
      <c r="O148" s="24"/>
      <c r="P148" s="22"/>
      <c r="Q148" s="22"/>
    </row>
    <row r="149" customFormat="false" ht="33.75" hidden="false" customHeight="true" outlineLevel="0" collapsed="false">
      <c r="A149" s="20" t="s">
        <v>835</v>
      </c>
      <c r="B149" s="21" t="s">
        <v>50</v>
      </c>
      <c r="C149" s="21" t="s">
        <v>820</v>
      </c>
      <c r="D149" s="21" t="s">
        <v>836</v>
      </c>
      <c r="E149" s="21" t="s">
        <v>178</v>
      </c>
      <c r="F149" s="20" t="s">
        <v>80</v>
      </c>
      <c r="G149" s="20" t="s">
        <v>136</v>
      </c>
      <c r="H149" s="21" t="s">
        <v>837</v>
      </c>
      <c r="I149" s="21" t="s">
        <v>838</v>
      </c>
      <c r="J149" s="21" t="s">
        <v>117</v>
      </c>
      <c r="K149" s="21" t="s">
        <v>839</v>
      </c>
      <c r="L149" s="22"/>
      <c r="M149" s="23" t="s">
        <v>39</v>
      </c>
      <c r="N149" s="22"/>
      <c r="O149" s="24"/>
      <c r="P149" s="22"/>
      <c r="Q149" s="22"/>
    </row>
    <row r="150" customFormat="false" ht="33.75" hidden="false" customHeight="true" outlineLevel="0" collapsed="false">
      <c r="A150" s="20" t="s">
        <v>840</v>
      </c>
      <c r="B150" s="21" t="s">
        <v>50</v>
      </c>
      <c r="C150" s="21" t="s">
        <v>820</v>
      </c>
      <c r="D150" s="21" t="s">
        <v>841</v>
      </c>
      <c r="E150" s="21" t="s">
        <v>178</v>
      </c>
      <c r="F150" s="20" t="s">
        <v>80</v>
      </c>
      <c r="G150" s="20" t="s">
        <v>106</v>
      </c>
      <c r="H150" s="21" t="s">
        <v>842</v>
      </c>
      <c r="I150" s="21" t="s">
        <v>843</v>
      </c>
      <c r="J150" s="21" t="s">
        <v>117</v>
      </c>
      <c r="K150" s="21" t="s">
        <v>844</v>
      </c>
      <c r="L150" s="22"/>
      <c r="M150" s="23" t="s">
        <v>39</v>
      </c>
      <c r="N150" s="22"/>
      <c r="O150" s="24"/>
      <c r="P150" s="22"/>
      <c r="Q150" s="22"/>
    </row>
    <row r="151" customFormat="false" ht="61.5" hidden="false" customHeight="true" outlineLevel="0" collapsed="false">
      <c r="A151" s="20" t="s">
        <v>845</v>
      </c>
      <c r="B151" s="21" t="s">
        <v>50</v>
      </c>
      <c r="C151" s="21" t="s">
        <v>846</v>
      </c>
      <c r="D151" s="21" t="s">
        <v>847</v>
      </c>
      <c r="E151" s="21" t="s">
        <v>178</v>
      </c>
      <c r="F151" s="20" t="s">
        <v>81</v>
      </c>
      <c r="G151" s="20" t="s">
        <v>106</v>
      </c>
      <c r="H151" s="21" t="s">
        <v>827</v>
      </c>
      <c r="I151" s="21" t="s">
        <v>848</v>
      </c>
      <c r="J151" s="21" t="s">
        <v>117</v>
      </c>
      <c r="K151" s="21" t="s">
        <v>849</v>
      </c>
      <c r="L151" s="22"/>
      <c r="M151" s="23" t="s">
        <v>39</v>
      </c>
      <c r="N151" s="22"/>
      <c r="O151" s="24"/>
      <c r="P151" s="22"/>
      <c r="Q151" s="22"/>
    </row>
    <row r="152" customFormat="false" ht="33.75" hidden="false" customHeight="true" outlineLevel="0" collapsed="false">
      <c r="A152" s="20" t="s">
        <v>850</v>
      </c>
      <c r="B152" s="21" t="s">
        <v>50</v>
      </c>
      <c r="C152" s="21" t="s">
        <v>846</v>
      </c>
      <c r="D152" s="21" t="s">
        <v>851</v>
      </c>
      <c r="E152" s="21" t="s">
        <v>178</v>
      </c>
      <c r="F152" s="20" t="s">
        <v>81</v>
      </c>
      <c r="G152" s="20" t="s">
        <v>114</v>
      </c>
      <c r="H152" s="21" t="s">
        <v>827</v>
      </c>
      <c r="I152" s="21" t="s">
        <v>852</v>
      </c>
      <c r="J152" s="21" t="s">
        <v>117</v>
      </c>
      <c r="K152" s="21" t="s">
        <v>853</v>
      </c>
      <c r="L152" s="22"/>
      <c r="M152" s="23" t="s">
        <v>39</v>
      </c>
      <c r="N152" s="22"/>
      <c r="O152" s="24"/>
      <c r="P152" s="22"/>
      <c r="Q152" s="22"/>
    </row>
    <row r="153" customFormat="false" ht="48" hidden="false" customHeight="true" outlineLevel="0" collapsed="false">
      <c r="A153" s="20" t="s">
        <v>854</v>
      </c>
      <c r="B153" s="21" t="s">
        <v>50</v>
      </c>
      <c r="C153" s="21" t="s">
        <v>855</v>
      </c>
      <c r="D153" s="21" t="s">
        <v>856</v>
      </c>
      <c r="E153" s="21" t="s">
        <v>178</v>
      </c>
      <c r="F153" s="20" t="s">
        <v>79</v>
      </c>
      <c r="G153" s="20" t="s">
        <v>106</v>
      </c>
      <c r="H153" s="21" t="s">
        <v>857</v>
      </c>
      <c r="I153" s="21" t="s">
        <v>858</v>
      </c>
      <c r="J153" s="21" t="s">
        <v>117</v>
      </c>
      <c r="K153" s="21" t="s">
        <v>859</v>
      </c>
      <c r="L153" s="22"/>
      <c r="M153" s="23" t="s">
        <v>39</v>
      </c>
      <c r="N153" s="22"/>
      <c r="O153" s="24"/>
      <c r="P153" s="22"/>
      <c r="Q153" s="22"/>
    </row>
    <row r="154" customFormat="false" ht="48" hidden="false" customHeight="true" outlineLevel="0" collapsed="false">
      <c r="A154" s="20" t="s">
        <v>860</v>
      </c>
      <c r="B154" s="21" t="s">
        <v>50</v>
      </c>
      <c r="C154" s="21" t="s">
        <v>855</v>
      </c>
      <c r="D154" s="21" t="s">
        <v>861</v>
      </c>
      <c r="E154" s="21" t="s">
        <v>178</v>
      </c>
      <c r="F154" s="20" t="s">
        <v>79</v>
      </c>
      <c r="G154" s="20" t="s">
        <v>136</v>
      </c>
      <c r="H154" s="21" t="s">
        <v>117</v>
      </c>
      <c r="I154" s="21" t="s">
        <v>862</v>
      </c>
      <c r="J154" s="21" t="s">
        <v>117</v>
      </c>
      <c r="K154" s="21" t="s">
        <v>863</v>
      </c>
      <c r="L154" s="22"/>
      <c r="M154" s="23" t="s">
        <v>39</v>
      </c>
      <c r="N154" s="22"/>
      <c r="O154" s="24"/>
      <c r="P154" s="22"/>
      <c r="Q154" s="22"/>
    </row>
    <row r="155" customFormat="false" ht="48" hidden="false" customHeight="true" outlineLevel="0" collapsed="false">
      <c r="A155" s="20" t="s">
        <v>864</v>
      </c>
      <c r="B155" s="21" t="s">
        <v>50</v>
      </c>
      <c r="C155" s="21" t="s">
        <v>329</v>
      </c>
      <c r="D155" s="21" t="s">
        <v>865</v>
      </c>
      <c r="E155" s="21" t="s">
        <v>764</v>
      </c>
      <c r="F155" s="20" t="s">
        <v>80</v>
      </c>
      <c r="G155" s="20" t="s">
        <v>106</v>
      </c>
      <c r="H155" s="21" t="s">
        <v>866</v>
      </c>
      <c r="I155" s="21" t="s">
        <v>867</v>
      </c>
      <c r="J155" s="21" t="s">
        <v>117</v>
      </c>
      <c r="K155" s="21" t="s">
        <v>868</v>
      </c>
      <c r="L155" s="22"/>
      <c r="M155" s="23" t="s">
        <v>39</v>
      </c>
      <c r="N155" s="22"/>
      <c r="O155" s="24"/>
      <c r="P155" s="22"/>
      <c r="Q155" s="22"/>
    </row>
    <row r="156" customFormat="false" ht="33.75" hidden="false" customHeight="true" outlineLevel="0" collapsed="false">
      <c r="A156" s="20" t="s">
        <v>869</v>
      </c>
      <c r="B156" s="21" t="s">
        <v>50</v>
      </c>
      <c r="C156" s="21" t="s">
        <v>870</v>
      </c>
      <c r="D156" s="21" t="s">
        <v>871</v>
      </c>
      <c r="E156" s="21" t="s">
        <v>872</v>
      </c>
      <c r="F156" s="20" t="s">
        <v>81</v>
      </c>
      <c r="G156" s="20" t="s">
        <v>121</v>
      </c>
      <c r="H156" s="21" t="s">
        <v>117</v>
      </c>
      <c r="I156" s="21" t="s">
        <v>873</v>
      </c>
      <c r="J156" s="21" t="s">
        <v>117</v>
      </c>
      <c r="K156" s="21" t="s">
        <v>874</v>
      </c>
      <c r="L156" s="22"/>
      <c r="M156" s="23" t="s">
        <v>39</v>
      </c>
      <c r="N156" s="22"/>
      <c r="O156" s="24"/>
      <c r="P156" s="22"/>
      <c r="Q156" s="22"/>
    </row>
    <row r="157" customFormat="false" ht="33.75" hidden="false" customHeight="true" outlineLevel="0" collapsed="false">
      <c r="A157" s="20" t="s">
        <v>875</v>
      </c>
      <c r="B157" s="21" t="s">
        <v>51</v>
      </c>
      <c r="C157" s="21" t="s">
        <v>769</v>
      </c>
      <c r="D157" s="21" t="s">
        <v>876</v>
      </c>
      <c r="E157" s="21" t="s">
        <v>877</v>
      </c>
      <c r="F157" s="20" t="s">
        <v>80</v>
      </c>
      <c r="G157" s="20" t="s">
        <v>106</v>
      </c>
      <c r="H157" s="21" t="s">
        <v>878</v>
      </c>
      <c r="I157" s="21" t="s">
        <v>879</v>
      </c>
      <c r="J157" s="21" t="s">
        <v>117</v>
      </c>
      <c r="K157" s="21" t="s">
        <v>880</v>
      </c>
      <c r="L157" s="22"/>
      <c r="M157" s="23" t="s">
        <v>39</v>
      </c>
      <c r="N157" s="22"/>
      <c r="O157" s="24"/>
      <c r="P157" s="22"/>
      <c r="Q157" s="22"/>
    </row>
    <row r="158" customFormat="false" ht="61.5" hidden="false" customHeight="true" outlineLevel="0" collapsed="false">
      <c r="A158" s="20" t="s">
        <v>881</v>
      </c>
      <c r="B158" s="21" t="s">
        <v>51</v>
      </c>
      <c r="C158" s="21" t="s">
        <v>769</v>
      </c>
      <c r="D158" s="21" t="s">
        <v>882</v>
      </c>
      <c r="E158" s="21" t="s">
        <v>877</v>
      </c>
      <c r="F158" s="20" t="s">
        <v>81</v>
      </c>
      <c r="G158" s="20" t="s">
        <v>136</v>
      </c>
      <c r="H158" s="21" t="s">
        <v>117</v>
      </c>
      <c r="I158" s="21" t="s">
        <v>883</v>
      </c>
      <c r="J158" s="21" t="s">
        <v>117</v>
      </c>
      <c r="K158" s="21" t="s">
        <v>884</v>
      </c>
      <c r="L158" s="22"/>
      <c r="M158" s="23" t="s">
        <v>39</v>
      </c>
      <c r="N158" s="22"/>
      <c r="O158" s="24"/>
      <c r="P158" s="22"/>
      <c r="Q158" s="22"/>
    </row>
    <row r="159" customFormat="false" ht="48" hidden="false" customHeight="true" outlineLevel="0" collapsed="false">
      <c r="A159" s="20" t="s">
        <v>885</v>
      </c>
      <c r="B159" s="21" t="s">
        <v>51</v>
      </c>
      <c r="C159" s="21" t="s">
        <v>886</v>
      </c>
      <c r="D159" s="21" t="s">
        <v>887</v>
      </c>
      <c r="E159" s="21" t="s">
        <v>178</v>
      </c>
      <c r="F159" s="20" t="s">
        <v>79</v>
      </c>
      <c r="G159" s="20" t="s">
        <v>106</v>
      </c>
      <c r="H159" s="21" t="s">
        <v>888</v>
      </c>
      <c r="I159" s="21" t="s">
        <v>889</v>
      </c>
      <c r="J159" s="21" t="s">
        <v>117</v>
      </c>
      <c r="K159" s="21" t="s">
        <v>890</v>
      </c>
      <c r="L159" s="22"/>
      <c r="M159" s="23" t="s">
        <v>39</v>
      </c>
      <c r="N159" s="22"/>
      <c r="O159" s="24"/>
      <c r="P159" s="22"/>
      <c r="Q159" s="22"/>
    </row>
    <row r="160" customFormat="false" ht="48" hidden="false" customHeight="true" outlineLevel="0" collapsed="false">
      <c r="A160" s="20" t="s">
        <v>891</v>
      </c>
      <c r="B160" s="21" t="s">
        <v>51</v>
      </c>
      <c r="C160" s="21" t="s">
        <v>886</v>
      </c>
      <c r="D160" s="21" t="s">
        <v>892</v>
      </c>
      <c r="E160" s="21" t="s">
        <v>178</v>
      </c>
      <c r="F160" s="20" t="s">
        <v>81</v>
      </c>
      <c r="G160" s="20" t="s">
        <v>136</v>
      </c>
      <c r="H160" s="21" t="s">
        <v>117</v>
      </c>
      <c r="I160" s="21" t="s">
        <v>893</v>
      </c>
      <c r="J160" s="21" t="s">
        <v>117</v>
      </c>
      <c r="K160" s="21" t="s">
        <v>894</v>
      </c>
      <c r="L160" s="22"/>
      <c r="M160" s="23" t="s">
        <v>39</v>
      </c>
      <c r="N160" s="22"/>
      <c r="O160" s="24"/>
      <c r="P160" s="22"/>
      <c r="Q160" s="22"/>
    </row>
    <row r="161" customFormat="false" ht="33.75" hidden="false" customHeight="true" outlineLevel="0" collapsed="false">
      <c r="A161" s="20" t="s">
        <v>895</v>
      </c>
      <c r="B161" s="21" t="s">
        <v>51</v>
      </c>
      <c r="C161" s="21" t="s">
        <v>247</v>
      </c>
      <c r="D161" s="21" t="s">
        <v>896</v>
      </c>
      <c r="E161" s="21" t="s">
        <v>897</v>
      </c>
      <c r="F161" s="20" t="s">
        <v>79</v>
      </c>
      <c r="G161" s="20" t="s">
        <v>121</v>
      </c>
      <c r="H161" s="21" t="s">
        <v>898</v>
      </c>
      <c r="I161" s="21" t="s">
        <v>899</v>
      </c>
      <c r="J161" s="21" t="s">
        <v>117</v>
      </c>
      <c r="K161" s="21" t="s">
        <v>900</v>
      </c>
      <c r="L161" s="22"/>
      <c r="M161" s="23" t="s">
        <v>39</v>
      </c>
      <c r="N161" s="22"/>
      <c r="O161" s="24"/>
      <c r="P161" s="22"/>
      <c r="Q161" s="22"/>
    </row>
    <row r="162" customFormat="false" ht="61.5" hidden="false" customHeight="true" outlineLevel="0" collapsed="false">
      <c r="A162" s="20" t="s">
        <v>901</v>
      </c>
      <c r="B162" s="21" t="s">
        <v>51</v>
      </c>
      <c r="C162" s="21" t="s">
        <v>855</v>
      </c>
      <c r="D162" s="21" t="s">
        <v>902</v>
      </c>
      <c r="E162" s="21" t="s">
        <v>459</v>
      </c>
      <c r="F162" s="20" t="s">
        <v>79</v>
      </c>
      <c r="G162" s="20" t="s">
        <v>106</v>
      </c>
      <c r="H162" s="21" t="s">
        <v>903</v>
      </c>
      <c r="I162" s="21" t="s">
        <v>904</v>
      </c>
      <c r="J162" s="21" t="s">
        <v>117</v>
      </c>
      <c r="K162" s="21" t="s">
        <v>905</v>
      </c>
      <c r="L162" s="22"/>
      <c r="M162" s="23" t="s">
        <v>39</v>
      </c>
      <c r="N162" s="22"/>
      <c r="O162" s="24"/>
      <c r="P162" s="22"/>
      <c r="Q162" s="22"/>
    </row>
    <row r="163" customFormat="false" ht="48" hidden="false" customHeight="true" outlineLevel="0" collapsed="false">
      <c r="A163" s="20" t="s">
        <v>906</v>
      </c>
      <c r="B163" s="21" t="s">
        <v>51</v>
      </c>
      <c r="C163" s="21" t="s">
        <v>855</v>
      </c>
      <c r="D163" s="21" t="s">
        <v>907</v>
      </c>
      <c r="E163" s="21" t="s">
        <v>459</v>
      </c>
      <c r="F163" s="20" t="s">
        <v>80</v>
      </c>
      <c r="G163" s="20" t="s">
        <v>136</v>
      </c>
      <c r="H163" s="21" t="s">
        <v>117</v>
      </c>
      <c r="I163" s="21" t="s">
        <v>908</v>
      </c>
      <c r="J163" s="21" t="s">
        <v>117</v>
      </c>
      <c r="K163" s="21" t="s">
        <v>909</v>
      </c>
      <c r="L163" s="22"/>
      <c r="M163" s="23" t="s">
        <v>39</v>
      </c>
      <c r="N163" s="22"/>
      <c r="O163" s="24"/>
      <c r="P163" s="22"/>
      <c r="Q163" s="22"/>
    </row>
    <row r="164" customFormat="false" ht="48" hidden="false" customHeight="true" outlineLevel="0" collapsed="false">
      <c r="A164" s="20" t="s">
        <v>910</v>
      </c>
      <c r="B164" s="21" t="s">
        <v>51</v>
      </c>
      <c r="C164" s="21" t="s">
        <v>911</v>
      </c>
      <c r="D164" s="21" t="s">
        <v>912</v>
      </c>
      <c r="E164" s="21" t="s">
        <v>913</v>
      </c>
      <c r="F164" s="20" t="s">
        <v>80</v>
      </c>
      <c r="G164" s="20" t="s">
        <v>136</v>
      </c>
      <c r="H164" s="21" t="s">
        <v>914</v>
      </c>
      <c r="I164" s="21" t="s">
        <v>915</v>
      </c>
      <c r="J164" s="21" t="s">
        <v>117</v>
      </c>
      <c r="K164" s="21" t="s">
        <v>916</v>
      </c>
      <c r="L164" s="22"/>
      <c r="M164" s="23" t="s">
        <v>39</v>
      </c>
      <c r="N164" s="22"/>
      <c r="O164" s="24"/>
      <c r="P164" s="22"/>
      <c r="Q164" s="22"/>
    </row>
    <row r="165" customFormat="false" ht="61.5" hidden="false" customHeight="true" outlineLevel="0" collapsed="false">
      <c r="A165" s="20" t="s">
        <v>917</v>
      </c>
      <c r="B165" s="21" t="s">
        <v>51</v>
      </c>
      <c r="C165" s="21" t="s">
        <v>918</v>
      </c>
      <c r="D165" s="21" t="s">
        <v>919</v>
      </c>
      <c r="E165" s="21" t="s">
        <v>459</v>
      </c>
      <c r="F165" s="20" t="s">
        <v>80</v>
      </c>
      <c r="G165" s="20" t="s">
        <v>106</v>
      </c>
      <c r="H165" s="21" t="s">
        <v>920</v>
      </c>
      <c r="I165" s="21" t="s">
        <v>921</v>
      </c>
      <c r="J165" s="21" t="s">
        <v>117</v>
      </c>
      <c r="K165" s="21" t="s">
        <v>922</v>
      </c>
      <c r="L165" s="22"/>
      <c r="M165" s="23" t="s">
        <v>39</v>
      </c>
      <c r="N165" s="22"/>
      <c r="O165" s="24"/>
      <c r="P165" s="22"/>
      <c r="Q165" s="22"/>
    </row>
    <row r="166" customFormat="false" ht="33.75" hidden="false" customHeight="true" outlineLevel="0" collapsed="false">
      <c r="A166" s="20" t="s">
        <v>923</v>
      </c>
      <c r="B166" s="21" t="s">
        <v>51</v>
      </c>
      <c r="C166" s="21" t="s">
        <v>924</v>
      </c>
      <c r="D166" s="21" t="s">
        <v>925</v>
      </c>
      <c r="E166" s="21" t="s">
        <v>926</v>
      </c>
      <c r="F166" s="20" t="s">
        <v>81</v>
      </c>
      <c r="G166" s="20" t="s">
        <v>106</v>
      </c>
      <c r="H166" s="21" t="s">
        <v>927</v>
      </c>
      <c r="I166" s="21" t="s">
        <v>928</v>
      </c>
      <c r="J166" s="21" t="s">
        <v>117</v>
      </c>
      <c r="K166" s="21" t="s">
        <v>929</v>
      </c>
      <c r="L166" s="22"/>
      <c r="M166" s="23" t="s">
        <v>39</v>
      </c>
      <c r="N166" s="22"/>
      <c r="O166" s="24"/>
      <c r="P166" s="22"/>
      <c r="Q166" s="22"/>
    </row>
    <row r="167" customFormat="false" ht="48" hidden="false" customHeight="true" outlineLevel="0" collapsed="false">
      <c r="A167" s="20" t="s">
        <v>930</v>
      </c>
      <c r="B167" s="21" t="s">
        <v>51</v>
      </c>
      <c r="C167" s="21" t="s">
        <v>121</v>
      </c>
      <c r="D167" s="21" t="s">
        <v>931</v>
      </c>
      <c r="E167" s="21" t="s">
        <v>932</v>
      </c>
      <c r="F167" s="20" t="s">
        <v>80</v>
      </c>
      <c r="G167" s="20" t="s">
        <v>121</v>
      </c>
      <c r="H167" s="21" t="s">
        <v>117</v>
      </c>
      <c r="I167" s="21" t="s">
        <v>933</v>
      </c>
      <c r="J167" s="21" t="s">
        <v>117</v>
      </c>
      <c r="K167" s="21" t="s">
        <v>934</v>
      </c>
      <c r="L167" s="22"/>
      <c r="M167" s="23" t="s">
        <v>39</v>
      </c>
      <c r="N167" s="22"/>
      <c r="O167" s="24"/>
      <c r="P167" s="22"/>
      <c r="Q167" s="22"/>
    </row>
    <row r="168" customFormat="false" ht="61.5" hidden="false" customHeight="true" outlineLevel="0" collapsed="false">
      <c r="A168" s="20" t="s">
        <v>935</v>
      </c>
      <c r="B168" s="21" t="s">
        <v>52</v>
      </c>
      <c r="C168" s="21" t="s">
        <v>936</v>
      </c>
      <c r="D168" s="21" t="s">
        <v>937</v>
      </c>
      <c r="E168" s="21" t="s">
        <v>178</v>
      </c>
      <c r="F168" s="20" t="s">
        <v>79</v>
      </c>
      <c r="G168" s="20" t="s">
        <v>106</v>
      </c>
      <c r="H168" s="21" t="s">
        <v>938</v>
      </c>
      <c r="I168" s="21" t="s">
        <v>939</v>
      </c>
      <c r="J168" s="21" t="s">
        <v>940</v>
      </c>
      <c r="K168" s="21" t="s">
        <v>941</v>
      </c>
      <c r="L168" s="22"/>
      <c r="M168" s="23" t="s">
        <v>39</v>
      </c>
      <c r="N168" s="22"/>
      <c r="O168" s="24"/>
      <c r="P168" s="22"/>
      <c r="Q168" s="22"/>
    </row>
    <row r="169" customFormat="false" ht="33.75" hidden="false" customHeight="true" outlineLevel="0" collapsed="false">
      <c r="A169" s="20" t="s">
        <v>942</v>
      </c>
      <c r="B169" s="21" t="s">
        <v>52</v>
      </c>
      <c r="C169" s="21" t="s">
        <v>936</v>
      </c>
      <c r="D169" s="21" t="s">
        <v>943</v>
      </c>
      <c r="E169" s="21" t="s">
        <v>178</v>
      </c>
      <c r="F169" s="20" t="s">
        <v>80</v>
      </c>
      <c r="G169" s="20" t="s">
        <v>136</v>
      </c>
      <c r="H169" s="21" t="s">
        <v>944</v>
      </c>
      <c r="I169" s="21" t="s">
        <v>945</v>
      </c>
      <c r="J169" s="21" t="s">
        <v>946</v>
      </c>
      <c r="K169" s="21" t="s">
        <v>947</v>
      </c>
      <c r="L169" s="22"/>
      <c r="M169" s="23" t="s">
        <v>39</v>
      </c>
      <c r="N169" s="22"/>
      <c r="O169" s="24"/>
      <c r="P169" s="22"/>
      <c r="Q169" s="22"/>
    </row>
    <row r="170" customFormat="false" ht="33.75" hidden="false" customHeight="true" outlineLevel="0" collapsed="false">
      <c r="A170" s="20" t="s">
        <v>948</v>
      </c>
      <c r="B170" s="21" t="s">
        <v>52</v>
      </c>
      <c r="C170" s="21" t="s">
        <v>936</v>
      </c>
      <c r="D170" s="21" t="s">
        <v>949</v>
      </c>
      <c r="E170" s="21" t="s">
        <v>190</v>
      </c>
      <c r="F170" s="20" t="s">
        <v>80</v>
      </c>
      <c r="G170" s="20" t="s">
        <v>121</v>
      </c>
      <c r="H170" s="21" t="s">
        <v>950</v>
      </c>
      <c r="I170" s="21" t="s">
        <v>951</v>
      </c>
      <c r="J170" s="21" t="s">
        <v>952</v>
      </c>
      <c r="K170" s="21" t="s">
        <v>953</v>
      </c>
      <c r="L170" s="22"/>
      <c r="M170" s="23" t="s">
        <v>39</v>
      </c>
      <c r="N170" s="22"/>
      <c r="O170" s="24"/>
      <c r="P170" s="22"/>
      <c r="Q170" s="22"/>
    </row>
    <row r="171" customFormat="false" ht="75.75" hidden="false" customHeight="true" outlineLevel="0" collapsed="false">
      <c r="A171" s="20" t="s">
        <v>954</v>
      </c>
      <c r="B171" s="21" t="s">
        <v>52</v>
      </c>
      <c r="C171" s="21" t="s">
        <v>955</v>
      </c>
      <c r="D171" s="21" t="s">
        <v>956</v>
      </c>
      <c r="E171" s="21" t="s">
        <v>190</v>
      </c>
      <c r="F171" s="20" t="s">
        <v>79</v>
      </c>
      <c r="G171" s="20" t="s">
        <v>106</v>
      </c>
      <c r="H171" s="21" t="s">
        <v>957</v>
      </c>
      <c r="I171" s="21" t="s">
        <v>958</v>
      </c>
      <c r="J171" s="21" t="s">
        <v>959</v>
      </c>
      <c r="K171" s="21" t="s">
        <v>960</v>
      </c>
      <c r="L171" s="22"/>
      <c r="M171" s="23" t="s">
        <v>39</v>
      </c>
      <c r="N171" s="22"/>
      <c r="O171" s="24"/>
      <c r="P171" s="22"/>
      <c r="Q171" s="22"/>
    </row>
    <row r="172" customFormat="false" ht="33.75" hidden="false" customHeight="true" outlineLevel="0" collapsed="false">
      <c r="A172" s="20" t="s">
        <v>961</v>
      </c>
      <c r="B172" s="21" t="s">
        <v>52</v>
      </c>
      <c r="C172" s="21" t="s">
        <v>955</v>
      </c>
      <c r="D172" s="21" t="s">
        <v>962</v>
      </c>
      <c r="E172" s="21" t="s">
        <v>190</v>
      </c>
      <c r="F172" s="20" t="s">
        <v>80</v>
      </c>
      <c r="G172" s="20" t="s">
        <v>136</v>
      </c>
      <c r="H172" s="21" t="s">
        <v>957</v>
      </c>
      <c r="I172" s="21" t="s">
        <v>963</v>
      </c>
      <c r="J172" s="21" t="s">
        <v>964</v>
      </c>
      <c r="K172" s="21" t="s">
        <v>965</v>
      </c>
      <c r="L172" s="22"/>
      <c r="M172" s="23" t="s">
        <v>39</v>
      </c>
      <c r="N172" s="22"/>
      <c r="O172" s="24"/>
      <c r="P172" s="22"/>
      <c r="Q172" s="22"/>
    </row>
    <row r="173" customFormat="false" ht="48" hidden="false" customHeight="true" outlineLevel="0" collapsed="false">
      <c r="A173" s="20" t="s">
        <v>966</v>
      </c>
      <c r="B173" s="21" t="s">
        <v>52</v>
      </c>
      <c r="C173" s="21" t="s">
        <v>955</v>
      </c>
      <c r="D173" s="21" t="s">
        <v>967</v>
      </c>
      <c r="E173" s="21" t="s">
        <v>190</v>
      </c>
      <c r="F173" s="20" t="s">
        <v>80</v>
      </c>
      <c r="G173" s="20" t="s">
        <v>114</v>
      </c>
      <c r="H173" s="21" t="s">
        <v>957</v>
      </c>
      <c r="I173" s="21" t="s">
        <v>968</v>
      </c>
      <c r="J173" s="21" t="s">
        <v>969</v>
      </c>
      <c r="K173" s="21" t="s">
        <v>970</v>
      </c>
      <c r="L173" s="22"/>
      <c r="M173" s="23" t="s">
        <v>39</v>
      </c>
      <c r="N173" s="22"/>
      <c r="O173" s="24"/>
      <c r="P173" s="22"/>
      <c r="Q173" s="22"/>
    </row>
    <row r="174" customFormat="false" ht="33.75" hidden="false" customHeight="true" outlineLevel="0" collapsed="false">
      <c r="A174" s="20" t="s">
        <v>971</v>
      </c>
      <c r="B174" s="21" t="s">
        <v>52</v>
      </c>
      <c r="C174" s="21" t="s">
        <v>955</v>
      </c>
      <c r="D174" s="21" t="s">
        <v>972</v>
      </c>
      <c r="E174" s="21" t="s">
        <v>190</v>
      </c>
      <c r="F174" s="20" t="s">
        <v>79</v>
      </c>
      <c r="G174" s="20" t="s">
        <v>121</v>
      </c>
      <c r="H174" s="21" t="s">
        <v>973</v>
      </c>
      <c r="I174" s="21" t="s">
        <v>974</v>
      </c>
      <c r="J174" s="21" t="s">
        <v>975</v>
      </c>
      <c r="K174" s="21" t="s">
        <v>976</v>
      </c>
      <c r="L174" s="22"/>
      <c r="M174" s="23" t="s">
        <v>39</v>
      </c>
      <c r="N174" s="22"/>
      <c r="O174" s="24"/>
      <c r="P174" s="22"/>
      <c r="Q174" s="22"/>
    </row>
    <row r="175" customFormat="false" ht="48" hidden="false" customHeight="true" outlineLevel="0" collapsed="false">
      <c r="A175" s="20" t="s">
        <v>977</v>
      </c>
      <c r="B175" s="21" t="s">
        <v>52</v>
      </c>
      <c r="C175" s="21" t="s">
        <v>978</v>
      </c>
      <c r="D175" s="21" t="s">
        <v>979</v>
      </c>
      <c r="E175" s="21" t="s">
        <v>178</v>
      </c>
      <c r="F175" s="20" t="s">
        <v>79</v>
      </c>
      <c r="G175" s="20" t="s">
        <v>106</v>
      </c>
      <c r="H175" s="21" t="s">
        <v>980</v>
      </c>
      <c r="I175" s="21" t="s">
        <v>981</v>
      </c>
      <c r="J175" s="21" t="s">
        <v>117</v>
      </c>
      <c r="K175" s="21" t="s">
        <v>982</v>
      </c>
      <c r="L175" s="22"/>
      <c r="M175" s="23" t="s">
        <v>39</v>
      </c>
      <c r="N175" s="22"/>
      <c r="O175" s="24"/>
      <c r="P175" s="22"/>
      <c r="Q175" s="22"/>
    </row>
    <row r="176" customFormat="false" ht="48" hidden="false" customHeight="true" outlineLevel="0" collapsed="false">
      <c r="A176" s="20" t="s">
        <v>983</v>
      </c>
      <c r="B176" s="21" t="s">
        <v>52</v>
      </c>
      <c r="C176" s="21" t="s">
        <v>984</v>
      </c>
      <c r="D176" s="21" t="s">
        <v>985</v>
      </c>
      <c r="E176" s="21" t="s">
        <v>178</v>
      </c>
      <c r="F176" s="20" t="s">
        <v>79</v>
      </c>
      <c r="G176" s="20" t="s">
        <v>106</v>
      </c>
      <c r="H176" s="21" t="s">
        <v>980</v>
      </c>
      <c r="I176" s="21" t="s">
        <v>986</v>
      </c>
      <c r="J176" s="21" t="s">
        <v>987</v>
      </c>
      <c r="K176" s="21" t="s">
        <v>988</v>
      </c>
      <c r="L176" s="22"/>
      <c r="M176" s="23" t="s">
        <v>39</v>
      </c>
      <c r="N176" s="22"/>
      <c r="O176" s="24"/>
      <c r="P176" s="22"/>
      <c r="Q176" s="22"/>
    </row>
    <row r="177" customFormat="false" ht="33.75" hidden="false" customHeight="true" outlineLevel="0" collapsed="false">
      <c r="A177" s="20" t="s">
        <v>989</v>
      </c>
      <c r="B177" s="21" t="s">
        <v>52</v>
      </c>
      <c r="C177" s="21" t="s">
        <v>984</v>
      </c>
      <c r="D177" s="21" t="s">
        <v>990</v>
      </c>
      <c r="E177" s="21" t="s">
        <v>178</v>
      </c>
      <c r="F177" s="20" t="s">
        <v>80</v>
      </c>
      <c r="G177" s="20" t="s">
        <v>136</v>
      </c>
      <c r="H177" s="21" t="s">
        <v>980</v>
      </c>
      <c r="I177" s="21" t="s">
        <v>991</v>
      </c>
      <c r="J177" s="21" t="s">
        <v>992</v>
      </c>
      <c r="K177" s="21" t="s">
        <v>993</v>
      </c>
      <c r="L177" s="22"/>
      <c r="M177" s="23" t="s">
        <v>39</v>
      </c>
      <c r="N177" s="22"/>
      <c r="O177" s="24"/>
      <c r="P177" s="22"/>
      <c r="Q177" s="22"/>
    </row>
    <row r="178" customFormat="false" ht="33.75" hidden="false" customHeight="true" outlineLevel="0" collapsed="false">
      <c r="A178" s="20" t="s">
        <v>994</v>
      </c>
      <c r="B178" s="21" t="s">
        <v>52</v>
      </c>
      <c r="C178" s="21" t="s">
        <v>978</v>
      </c>
      <c r="D178" s="21" t="s">
        <v>995</v>
      </c>
      <c r="E178" s="21" t="s">
        <v>357</v>
      </c>
      <c r="F178" s="20" t="s">
        <v>80</v>
      </c>
      <c r="G178" s="20" t="s">
        <v>121</v>
      </c>
      <c r="H178" s="21" t="s">
        <v>980</v>
      </c>
      <c r="I178" s="21" t="s">
        <v>996</v>
      </c>
      <c r="J178" s="21" t="s">
        <v>117</v>
      </c>
      <c r="K178" s="21" t="s">
        <v>997</v>
      </c>
      <c r="L178" s="22"/>
      <c r="M178" s="23" t="s">
        <v>39</v>
      </c>
      <c r="N178" s="22"/>
      <c r="O178" s="24"/>
      <c r="P178" s="22"/>
      <c r="Q178" s="22"/>
    </row>
    <row r="179" customFormat="false" ht="61.5" hidden="false" customHeight="true" outlineLevel="0" collapsed="false">
      <c r="A179" s="20" t="s">
        <v>998</v>
      </c>
      <c r="B179" s="21" t="s">
        <v>53</v>
      </c>
      <c r="C179" s="21" t="s">
        <v>999</v>
      </c>
      <c r="D179" s="21" t="s">
        <v>1000</v>
      </c>
      <c r="E179" s="21" t="s">
        <v>178</v>
      </c>
      <c r="F179" s="20" t="s">
        <v>79</v>
      </c>
      <c r="G179" s="20" t="s">
        <v>106</v>
      </c>
      <c r="H179" s="21" t="s">
        <v>1001</v>
      </c>
      <c r="I179" s="21" t="s">
        <v>1002</v>
      </c>
      <c r="J179" s="21" t="s">
        <v>1003</v>
      </c>
      <c r="K179" s="21" t="s">
        <v>1004</v>
      </c>
      <c r="L179" s="22"/>
      <c r="M179" s="23" t="s">
        <v>39</v>
      </c>
      <c r="N179" s="22"/>
      <c r="O179" s="24"/>
      <c r="P179" s="22"/>
      <c r="Q179" s="22"/>
    </row>
    <row r="180" customFormat="false" ht="48" hidden="false" customHeight="true" outlineLevel="0" collapsed="false">
      <c r="A180" s="20" t="s">
        <v>1005</v>
      </c>
      <c r="B180" s="21" t="s">
        <v>53</v>
      </c>
      <c r="C180" s="21" t="s">
        <v>999</v>
      </c>
      <c r="D180" s="21" t="s">
        <v>1006</v>
      </c>
      <c r="E180" s="21" t="s">
        <v>178</v>
      </c>
      <c r="F180" s="20" t="s">
        <v>79</v>
      </c>
      <c r="G180" s="20" t="s">
        <v>1007</v>
      </c>
      <c r="H180" s="21" t="s">
        <v>1008</v>
      </c>
      <c r="I180" s="21" t="s">
        <v>1009</v>
      </c>
      <c r="J180" s="21" t="s">
        <v>117</v>
      </c>
      <c r="K180" s="21" t="s">
        <v>1010</v>
      </c>
      <c r="L180" s="22"/>
      <c r="M180" s="23" t="s">
        <v>39</v>
      </c>
      <c r="N180" s="22"/>
      <c r="O180" s="24"/>
      <c r="P180" s="22"/>
      <c r="Q180" s="22"/>
    </row>
    <row r="181" customFormat="false" ht="33.75" hidden="false" customHeight="true" outlineLevel="0" collapsed="false">
      <c r="A181" s="20" t="s">
        <v>1011</v>
      </c>
      <c r="B181" s="21" t="s">
        <v>53</v>
      </c>
      <c r="C181" s="21" t="s">
        <v>999</v>
      </c>
      <c r="D181" s="21" t="s">
        <v>1012</v>
      </c>
      <c r="E181" s="21" t="s">
        <v>178</v>
      </c>
      <c r="F181" s="20" t="s">
        <v>79</v>
      </c>
      <c r="G181" s="20" t="s">
        <v>136</v>
      </c>
      <c r="H181" s="21" t="s">
        <v>1008</v>
      </c>
      <c r="I181" s="21" t="s">
        <v>1013</v>
      </c>
      <c r="J181" s="21" t="s">
        <v>1014</v>
      </c>
      <c r="K181" s="21" t="s">
        <v>1015</v>
      </c>
      <c r="L181" s="22"/>
      <c r="M181" s="23" t="s">
        <v>39</v>
      </c>
      <c r="N181" s="22"/>
      <c r="O181" s="24"/>
      <c r="P181" s="22"/>
      <c r="Q181" s="22"/>
    </row>
    <row r="182" customFormat="false" ht="33.75" hidden="false" customHeight="true" outlineLevel="0" collapsed="false">
      <c r="A182" s="20" t="s">
        <v>1016</v>
      </c>
      <c r="B182" s="21" t="s">
        <v>53</v>
      </c>
      <c r="C182" s="21" t="s">
        <v>999</v>
      </c>
      <c r="D182" s="21" t="s">
        <v>1017</v>
      </c>
      <c r="E182" s="21" t="s">
        <v>178</v>
      </c>
      <c r="F182" s="20" t="s">
        <v>80</v>
      </c>
      <c r="G182" s="20" t="s">
        <v>114</v>
      </c>
      <c r="H182" s="21" t="s">
        <v>1008</v>
      </c>
      <c r="I182" s="21" t="s">
        <v>1018</v>
      </c>
      <c r="J182" s="21" t="s">
        <v>1019</v>
      </c>
      <c r="K182" s="21" t="s">
        <v>1020</v>
      </c>
      <c r="L182" s="22"/>
      <c r="M182" s="23" t="s">
        <v>39</v>
      </c>
      <c r="N182" s="22"/>
      <c r="O182" s="24"/>
      <c r="P182" s="22"/>
      <c r="Q182" s="22"/>
    </row>
    <row r="183" customFormat="false" ht="33.75" hidden="false" customHeight="true" outlineLevel="0" collapsed="false">
      <c r="A183" s="20" t="s">
        <v>1021</v>
      </c>
      <c r="B183" s="21" t="s">
        <v>53</v>
      </c>
      <c r="C183" s="21" t="s">
        <v>999</v>
      </c>
      <c r="D183" s="21" t="s">
        <v>1022</v>
      </c>
      <c r="E183" s="21" t="s">
        <v>178</v>
      </c>
      <c r="F183" s="20" t="s">
        <v>80</v>
      </c>
      <c r="G183" s="20" t="s">
        <v>106</v>
      </c>
      <c r="H183" s="21" t="s">
        <v>1008</v>
      </c>
      <c r="I183" s="21" t="s">
        <v>1023</v>
      </c>
      <c r="J183" s="21" t="s">
        <v>1024</v>
      </c>
      <c r="K183" s="21" t="s">
        <v>1025</v>
      </c>
      <c r="L183" s="22"/>
      <c r="M183" s="23" t="s">
        <v>39</v>
      </c>
      <c r="N183" s="22"/>
      <c r="O183" s="24"/>
      <c r="P183" s="22"/>
      <c r="Q183" s="22"/>
    </row>
    <row r="184" customFormat="false" ht="33.75" hidden="false" customHeight="true" outlineLevel="0" collapsed="false">
      <c r="A184" s="20" t="s">
        <v>1026</v>
      </c>
      <c r="B184" s="21" t="s">
        <v>53</v>
      </c>
      <c r="C184" s="21" t="s">
        <v>999</v>
      </c>
      <c r="D184" s="21" t="s">
        <v>1027</v>
      </c>
      <c r="E184" s="21" t="s">
        <v>178</v>
      </c>
      <c r="F184" s="20" t="s">
        <v>80</v>
      </c>
      <c r="G184" s="20" t="s">
        <v>136</v>
      </c>
      <c r="H184" s="21" t="s">
        <v>1008</v>
      </c>
      <c r="I184" s="21" t="s">
        <v>1028</v>
      </c>
      <c r="J184" s="21" t="s">
        <v>1029</v>
      </c>
      <c r="K184" s="21" t="s">
        <v>1030</v>
      </c>
      <c r="L184" s="22"/>
      <c r="M184" s="23" t="s">
        <v>39</v>
      </c>
      <c r="N184" s="22"/>
      <c r="O184" s="24"/>
      <c r="P184" s="22"/>
      <c r="Q184" s="22"/>
    </row>
    <row r="185" customFormat="false" ht="33.75" hidden="false" customHeight="true" outlineLevel="0" collapsed="false">
      <c r="A185" s="20" t="s">
        <v>1031</v>
      </c>
      <c r="B185" s="21" t="s">
        <v>53</v>
      </c>
      <c r="C185" s="21" t="s">
        <v>999</v>
      </c>
      <c r="D185" s="21" t="s">
        <v>1032</v>
      </c>
      <c r="E185" s="21" t="s">
        <v>178</v>
      </c>
      <c r="F185" s="20" t="s">
        <v>80</v>
      </c>
      <c r="G185" s="20" t="s">
        <v>136</v>
      </c>
      <c r="H185" s="21" t="s">
        <v>1008</v>
      </c>
      <c r="I185" s="21" t="s">
        <v>1033</v>
      </c>
      <c r="J185" s="21" t="s">
        <v>117</v>
      </c>
      <c r="K185" s="21" t="s">
        <v>1034</v>
      </c>
      <c r="L185" s="22"/>
      <c r="M185" s="23" t="s">
        <v>39</v>
      </c>
      <c r="N185" s="22"/>
      <c r="O185" s="24"/>
      <c r="P185" s="22"/>
      <c r="Q185" s="22"/>
    </row>
    <row r="186" customFormat="false" ht="33.75" hidden="false" customHeight="true" outlineLevel="0" collapsed="false">
      <c r="A186" s="20" t="s">
        <v>1035</v>
      </c>
      <c r="B186" s="21" t="s">
        <v>53</v>
      </c>
      <c r="C186" s="21" t="s">
        <v>999</v>
      </c>
      <c r="D186" s="21" t="s">
        <v>1036</v>
      </c>
      <c r="E186" s="21" t="s">
        <v>178</v>
      </c>
      <c r="F186" s="20" t="s">
        <v>81</v>
      </c>
      <c r="G186" s="20" t="s">
        <v>136</v>
      </c>
      <c r="H186" s="21" t="s">
        <v>1037</v>
      </c>
      <c r="I186" s="21" t="s">
        <v>1038</v>
      </c>
      <c r="J186" s="21" t="s">
        <v>1039</v>
      </c>
      <c r="K186" s="21" t="s">
        <v>1040</v>
      </c>
      <c r="L186" s="22"/>
      <c r="M186" s="23" t="s">
        <v>39</v>
      </c>
      <c r="N186" s="22"/>
      <c r="O186" s="24"/>
      <c r="P186" s="22"/>
      <c r="Q186" s="22"/>
    </row>
    <row r="187" customFormat="false" ht="48" hidden="false" customHeight="true" outlineLevel="0" collapsed="false">
      <c r="A187" s="20" t="s">
        <v>1041</v>
      </c>
      <c r="B187" s="21" t="s">
        <v>53</v>
      </c>
      <c r="C187" s="21" t="s">
        <v>999</v>
      </c>
      <c r="D187" s="21" t="s">
        <v>1042</v>
      </c>
      <c r="E187" s="21" t="s">
        <v>178</v>
      </c>
      <c r="F187" s="20" t="s">
        <v>81</v>
      </c>
      <c r="G187" s="20" t="s">
        <v>114</v>
      </c>
      <c r="H187" s="21" t="s">
        <v>1008</v>
      </c>
      <c r="I187" s="21" t="s">
        <v>1043</v>
      </c>
      <c r="J187" s="21" t="s">
        <v>1044</v>
      </c>
      <c r="K187" s="21" t="s">
        <v>1045</v>
      </c>
      <c r="L187" s="22"/>
      <c r="M187" s="23" t="s">
        <v>39</v>
      </c>
      <c r="N187" s="22"/>
      <c r="O187" s="24"/>
      <c r="P187" s="22"/>
      <c r="Q187" s="22"/>
    </row>
    <row r="188" customFormat="false" ht="33.75" hidden="false" customHeight="true" outlineLevel="0" collapsed="false">
      <c r="A188" s="20" t="s">
        <v>1046</v>
      </c>
      <c r="B188" s="21" t="s">
        <v>53</v>
      </c>
      <c r="C188" s="21" t="s">
        <v>999</v>
      </c>
      <c r="D188" s="21" t="s">
        <v>1047</v>
      </c>
      <c r="E188" s="21" t="s">
        <v>178</v>
      </c>
      <c r="F188" s="20" t="s">
        <v>80</v>
      </c>
      <c r="G188" s="20" t="s">
        <v>121</v>
      </c>
      <c r="H188" s="21" t="s">
        <v>1008</v>
      </c>
      <c r="I188" s="21" t="s">
        <v>1048</v>
      </c>
      <c r="J188" s="21" t="s">
        <v>1049</v>
      </c>
      <c r="K188" s="21" t="s">
        <v>1050</v>
      </c>
      <c r="L188" s="22"/>
      <c r="M188" s="23" t="s">
        <v>39</v>
      </c>
      <c r="N188" s="22"/>
      <c r="O188" s="24"/>
      <c r="P188" s="22"/>
      <c r="Q188" s="22"/>
    </row>
    <row r="189" customFormat="false" ht="33.75" hidden="false" customHeight="true" outlineLevel="0" collapsed="false">
      <c r="A189" s="20" t="s">
        <v>1051</v>
      </c>
      <c r="B189" s="21" t="s">
        <v>53</v>
      </c>
      <c r="C189" s="21" t="s">
        <v>999</v>
      </c>
      <c r="D189" s="21" t="s">
        <v>1052</v>
      </c>
      <c r="E189" s="21" t="s">
        <v>459</v>
      </c>
      <c r="F189" s="20" t="s">
        <v>80</v>
      </c>
      <c r="G189" s="20" t="s">
        <v>121</v>
      </c>
      <c r="H189" s="21" t="s">
        <v>1008</v>
      </c>
      <c r="I189" s="21" t="s">
        <v>1053</v>
      </c>
      <c r="J189" s="21" t="s">
        <v>117</v>
      </c>
      <c r="K189" s="21" t="s">
        <v>1054</v>
      </c>
      <c r="L189" s="22"/>
      <c r="M189" s="23" t="s">
        <v>39</v>
      </c>
      <c r="N189" s="22"/>
      <c r="O189" s="24"/>
      <c r="P189" s="22"/>
      <c r="Q189" s="22"/>
    </row>
    <row r="190" customFormat="false" ht="33.75" hidden="false" customHeight="true" outlineLevel="0" collapsed="false">
      <c r="A190" s="20" t="s">
        <v>1055</v>
      </c>
      <c r="B190" s="21" t="s">
        <v>53</v>
      </c>
      <c r="C190" s="21" t="s">
        <v>999</v>
      </c>
      <c r="D190" s="21" t="s">
        <v>1056</v>
      </c>
      <c r="E190" s="21" t="s">
        <v>178</v>
      </c>
      <c r="F190" s="20" t="s">
        <v>79</v>
      </c>
      <c r="G190" s="20" t="s">
        <v>136</v>
      </c>
      <c r="H190" s="21" t="s">
        <v>980</v>
      </c>
      <c r="I190" s="21" t="s">
        <v>1057</v>
      </c>
      <c r="J190" s="21" t="s">
        <v>117</v>
      </c>
      <c r="K190" s="21" t="s">
        <v>1058</v>
      </c>
      <c r="L190" s="22"/>
      <c r="M190" s="23" t="s">
        <v>39</v>
      </c>
      <c r="N190" s="22"/>
      <c r="O190" s="24"/>
      <c r="P190" s="22"/>
      <c r="Q190" s="22"/>
    </row>
    <row r="191" customFormat="false" ht="33.75" hidden="false" customHeight="true" outlineLevel="0" collapsed="false">
      <c r="A191" s="20" t="s">
        <v>1059</v>
      </c>
      <c r="B191" s="21" t="s">
        <v>53</v>
      </c>
      <c r="C191" s="21" t="s">
        <v>999</v>
      </c>
      <c r="D191" s="21" t="s">
        <v>1060</v>
      </c>
      <c r="E191" s="21" t="s">
        <v>178</v>
      </c>
      <c r="F191" s="20" t="s">
        <v>80</v>
      </c>
      <c r="G191" s="20" t="s">
        <v>136</v>
      </c>
      <c r="H191" s="21" t="s">
        <v>1061</v>
      </c>
      <c r="I191" s="21" t="s">
        <v>1062</v>
      </c>
      <c r="J191" s="21" t="s">
        <v>117</v>
      </c>
      <c r="K191" s="21" t="s">
        <v>1063</v>
      </c>
      <c r="L191" s="22"/>
      <c r="M191" s="23" t="s">
        <v>39</v>
      </c>
      <c r="N191" s="22"/>
      <c r="O191" s="24"/>
      <c r="P191" s="22"/>
      <c r="Q191" s="22"/>
    </row>
    <row r="192" customFormat="false" ht="33.75" hidden="false" customHeight="true" outlineLevel="0" collapsed="false">
      <c r="A192" s="20" t="s">
        <v>1064</v>
      </c>
      <c r="B192" s="21" t="s">
        <v>53</v>
      </c>
      <c r="C192" s="21" t="s">
        <v>999</v>
      </c>
      <c r="D192" s="21" t="s">
        <v>1065</v>
      </c>
      <c r="E192" s="21" t="s">
        <v>178</v>
      </c>
      <c r="F192" s="20" t="s">
        <v>81</v>
      </c>
      <c r="G192" s="20" t="s">
        <v>114</v>
      </c>
      <c r="H192" s="21" t="s">
        <v>1008</v>
      </c>
      <c r="I192" s="21" t="s">
        <v>1066</v>
      </c>
      <c r="J192" s="21" t="s">
        <v>1067</v>
      </c>
      <c r="K192" s="21" t="s">
        <v>1068</v>
      </c>
      <c r="L192" s="22"/>
      <c r="M192" s="23" t="s">
        <v>39</v>
      </c>
      <c r="N192" s="22"/>
      <c r="O192" s="24"/>
      <c r="P192" s="22"/>
      <c r="Q192" s="22"/>
    </row>
    <row r="193" customFormat="false" ht="48" hidden="false" customHeight="true" outlineLevel="0" collapsed="false">
      <c r="A193" s="20" t="s">
        <v>1069</v>
      </c>
      <c r="B193" s="21" t="s">
        <v>54</v>
      </c>
      <c r="C193" s="21" t="s">
        <v>1070</v>
      </c>
      <c r="D193" s="21" t="s">
        <v>1071</v>
      </c>
      <c r="E193" s="21" t="s">
        <v>190</v>
      </c>
      <c r="F193" s="20" t="s">
        <v>80</v>
      </c>
      <c r="G193" s="20" t="s">
        <v>106</v>
      </c>
      <c r="H193" s="21" t="s">
        <v>1072</v>
      </c>
      <c r="I193" s="21" t="s">
        <v>1073</v>
      </c>
      <c r="J193" s="21" t="s">
        <v>117</v>
      </c>
      <c r="K193" s="21" t="s">
        <v>1074</v>
      </c>
      <c r="L193" s="22"/>
      <c r="M193" s="23" t="s">
        <v>39</v>
      </c>
      <c r="N193" s="22"/>
      <c r="O193" s="24"/>
      <c r="P193" s="22"/>
      <c r="Q193" s="22"/>
    </row>
    <row r="194" customFormat="false" ht="61.5" hidden="false" customHeight="true" outlineLevel="0" collapsed="false">
      <c r="A194" s="20" t="s">
        <v>1075</v>
      </c>
      <c r="B194" s="21" t="s">
        <v>54</v>
      </c>
      <c r="C194" s="21" t="s">
        <v>1070</v>
      </c>
      <c r="D194" s="21" t="s">
        <v>1076</v>
      </c>
      <c r="E194" s="21" t="s">
        <v>190</v>
      </c>
      <c r="F194" s="20" t="s">
        <v>79</v>
      </c>
      <c r="G194" s="20" t="s">
        <v>106</v>
      </c>
      <c r="H194" s="21" t="s">
        <v>1077</v>
      </c>
      <c r="I194" s="21" t="s">
        <v>1078</v>
      </c>
      <c r="J194" s="21" t="s">
        <v>1079</v>
      </c>
      <c r="K194" s="21" t="s">
        <v>1080</v>
      </c>
      <c r="L194" s="22"/>
      <c r="M194" s="23" t="s">
        <v>39</v>
      </c>
      <c r="N194" s="22"/>
      <c r="O194" s="24"/>
      <c r="P194" s="22"/>
      <c r="Q194" s="22"/>
    </row>
    <row r="195" customFormat="false" ht="33.75" hidden="false" customHeight="true" outlineLevel="0" collapsed="false">
      <c r="A195" s="20" t="s">
        <v>1081</v>
      </c>
      <c r="B195" s="21" t="s">
        <v>54</v>
      </c>
      <c r="C195" s="21" t="s">
        <v>1070</v>
      </c>
      <c r="D195" s="21" t="s">
        <v>1082</v>
      </c>
      <c r="E195" s="21" t="s">
        <v>190</v>
      </c>
      <c r="F195" s="20" t="s">
        <v>79</v>
      </c>
      <c r="G195" s="20" t="s">
        <v>136</v>
      </c>
      <c r="H195" s="21" t="s">
        <v>1083</v>
      </c>
      <c r="I195" s="21" t="s">
        <v>1084</v>
      </c>
      <c r="J195" s="21" t="s">
        <v>117</v>
      </c>
      <c r="K195" s="21" t="s">
        <v>1085</v>
      </c>
      <c r="L195" s="22"/>
      <c r="M195" s="23" t="s">
        <v>39</v>
      </c>
      <c r="N195" s="22"/>
      <c r="O195" s="24"/>
      <c r="P195" s="22"/>
      <c r="Q195" s="22"/>
    </row>
    <row r="196" customFormat="false" ht="33.75" hidden="false" customHeight="true" outlineLevel="0" collapsed="false">
      <c r="A196" s="20" t="s">
        <v>1086</v>
      </c>
      <c r="B196" s="21" t="s">
        <v>54</v>
      </c>
      <c r="C196" s="21" t="s">
        <v>1070</v>
      </c>
      <c r="D196" s="21" t="s">
        <v>1087</v>
      </c>
      <c r="E196" s="21" t="s">
        <v>190</v>
      </c>
      <c r="F196" s="20" t="s">
        <v>80</v>
      </c>
      <c r="G196" s="20" t="s">
        <v>136</v>
      </c>
      <c r="H196" s="21" t="s">
        <v>1088</v>
      </c>
      <c r="I196" s="21" t="s">
        <v>1089</v>
      </c>
      <c r="J196" s="21" t="s">
        <v>117</v>
      </c>
      <c r="K196" s="21" t="s">
        <v>1090</v>
      </c>
      <c r="L196" s="22"/>
      <c r="M196" s="23" t="s">
        <v>39</v>
      </c>
      <c r="N196" s="22"/>
      <c r="O196" s="24"/>
      <c r="P196" s="22"/>
      <c r="Q196" s="22"/>
    </row>
    <row r="197" customFormat="false" ht="33.75" hidden="false" customHeight="true" outlineLevel="0" collapsed="false">
      <c r="A197" s="20" t="s">
        <v>1091</v>
      </c>
      <c r="B197" s="21" t="s">
        <v>54</v>
      </c>
      <c r="C197" s="21" t="s">
        <v>1070</v>
      </c>
      <c r="D197" s="21" t="s">
        <v>1092</v>
      </c>
      <c r="E197" s="21" t="s">
        <v>190</v>
      </c>
      <c r="F197" s="20" t="s">
        <v>80</v>
      </c>
      <c r="G197" s="20" t="s">
        <v>136</v>
      </c>
      <c r="H197" s="21" t="s">
        <v>1093</v>
      </c>
      <c r="I197" s="21" t="s">
        <v>1094</v>
      </c>
      <c r="J197" s="21" t="s">
        <v>117</v>
      </c>
      <c r="K197" s="21" t="s">
        <v>1095</v>
      </c>
      <c r="L197" s="22"/>
      <c r="M197" s="23" t="s">
        <v>39</v>
      </c>
      <c r="N197" s="22"/>
      <c r="O197" s="24"/>
      <c r="P197" s="22"/>
      <c r="Q197" s="22"/>
    </row>
    <row r="198" customFormat="false" ht="33.75" hidden="false" customHeight="true" outlineLevel="0" collapsed="false">
      <c r="A198" s="20" t="s">
        <v>1096</v>
      </c>
      <c r="B198" s="21" t="s">
        <v>54</v>
      </c>
      <c r="C198" s="21" t="s">
        <v>1070</v>
      </c>
      <c r="D198" s="21" t="s">
        <v>1097</v>
      </c>
      <c r="E198" s="21" t="s">
        <v>190</v>
      </c>
      <c r="F198" s="20" t="s">
        <v>79</v>
      </c>
      <c r="G198" s="20" t="s">
        <v>136</v>
      </c>
      <c r="H198" s="21" t="s">
        <v>1098</v>
      </c>
      <c r="I198" s="21" t="s">
        <v>1099</v>
      </c>
      <c r="J198" s="21" t="s">
        <v>117</v>
      </c>
      <c r="K198" s="21" t="s">
        <v>1100</v>
      </c>
      <c r="L198" s="22"/>
      <c r="M198" s="23" t="s">
        <v>39</v>
      </c>
      <c r="N198" s="22"/>
      <c r="O198" s="24"/>
      <c r="P198" s="22"/>
      <c r="Q198" s="22"/>
    </row>
    <row r="199" customFormat="false" ht="33.75" hidden="false" customHeight="true" outlineLevel="0" collapsed="false">
      <c r="A199" s="20" t="s">
        <v>1101</v>
      </c>
      <c r="B199" s="21" t="s">
        <v>54</v>
      </c>
      <c r="C199" s="21" t="s">
        <v>1070</v>
      </c>
      <c r="D199" s="21" t="s">
        <v>1102</v>
      </c>
      <c r="E199" s="21" t="s">
        <v>190</v>
      </c>
      <c r="F199" s="20" t="s">
        <v>79</v>
      </c>
      <c r="G199" s="20" t="s">
        <v>136</v>
      </c>
      <c r="H199" s="21" t="s">
        <v>1103</v>
      </c>
      <c r="I199" s="21" t="s">
        <v>1104</v>
      </c>
      <c r="J199" s="21" t="s">
        <v>1105</v>
      </c>
      <c r="K199" s="21" t="s">
        <v>1106</v>
      </c>
      <c r="L199" s="22"/>
      <c r="M199" s="23" t="s">
        <v>39</v>
      </c>
      <c r="N199" s="22"/>
      <c r="O199" s="24"/>
      <c r="P199" s="22"/>
      <c r="Q199" s="22"/>
    </row>
    <row r="200" customFormat="false" ht="48" hidden="false" customHeight="true" outlineLevel="0" collapsed="false">
      <c r="A200" s="20" t="s">
        <v>1107</v>
      </c>
      <c r="B200" s="21" t="s">
        <v>54</v>
      </c>
      <c r="C200" s="21" t="s">
        <v>1070</v>
      </c>
      <c r="D200" s="21" t="s">
        <v>1108</v>
      </c>
      <c r="E200" s="21" t="s">
        <v>190</v>
      </c>
      <c r="F200" s="20" t="s">
        <v>80</v>
      </c>
      <c r="G200" s="20" t="s">
        <v>114</v>
      </c>
      <c r="H200" s="21" t="s">
        <v>1098</v>
      </c>
      <c r="I200" s="21" t="s">
        <v>1109</v>
      </c>
      <c r="J200" s="21" t="s">
        <v>117</v>
      </c>
      <c r="K200" s="21" t="s">
        <v>1110</v>
      </c>
      <c r="L200" s="22"/>
      <c r="M200" s="23" t="s">
        <v>39</v>
      </c>
      <c r="N200" s="22"/>
      <c r="O200" s="24"/>
      <c r="P200" s="22"/>
      <c r="Q200" s="22"/>
    </row>
    <row r="201" customFormat="false" ht="33.75" hidden="false" customHeight="true" outlineLevel="0" collapsed="false">
      <c r="A201" s="20" t="s">
        <v>1111</v>
      </c>
      <c r="B201" s="21" t="s">
        <v>54</v>
      </c>
      <c r="C201" s="21" t="s">
        <v>1070</v>
      </c>
      <c r="D201" s="21" t="s">
        <v>1112</v>
      </c>
      <c r="E201" s="21" t="s">
        <v>190</v>
      </c>
      <c r="F201" s="20" t="s">
        <v>81</v>
      </c>
      <c r="G201" s="20" t="s">
        <v>136</v>
      </c>
      <c r="H201" s="21" t="s">
        <v>1098</v>
      </c>
      <c r="I201" s="21" t="s">
        <v>1113</v>
      </c>
      <c r="J201" s="21" t="s">
        <v>117</v>
      </c>
      <c r="K201" s="21" t="s">
        <v>1114</v>
      </c>
      <c r="L201" s="22"/>
      <c r="M201" s="23" t="s">
        <v>39</v>
      </c>
      <c r="N201" s="22"/>
      <c r="O201" s="24"/>
      <c r="P201" s="22"/>
      <c r="Q201" s="22"/>
    </row>
    <row r="202" customFormat="false" ht="33.75" hidden="false" customHeight="true" outlineLevel="0" collapsed="false">
      <c r="A202" s="20" t="s">
        <v>1115</v>
      </c>
      <c r="B202" s="21" t="s">
        <v>54</v>
      </c>
      <c r="C202" s="21" t="s">
        <v>1070</v>
      </c>
      <c r="D202" s="21" t="s">
        <v>1116</v>
      </c>
      <c r="E202" s="21" t="s">
        <v>190</v>
      </c>
      <c r="F202" s="20" t="s">
        <v>81</v>
      </c>
      <c r="G202" s="20" t="s">
        <v>114</v>
      </c>
      <c r="H202" s="21" t="s">
        <v>1098</v>
      </c>
      <c r="I202" s="21" t="s">
        <v>1117</v>
      </c>
      <c r="J202" s="21" t="s">
        <v>117</v>
      </c>
      <c r="K202" s="21" t="s">
        <v>1118</v>
      </c>
      <c r="L202" s="22"/>
      <c r="M202" s="23" t="s">
        <v>39</v>
      </c>
      <c r="N202" s="22"/>
      <c r="O202" s="24"/>
      <c r="P202" s="22"/>
      <c r="Q202" s="22"/>
    </row>
    <row r="203" customFormat="false" ht="33.75" hidden="false" customHeight="true" outlineLevel="0" collapsed="false">
      <c r="A203" s="20" t="s">
        <v>1119</v>
      </c>
      <c r="B203" s="21" t="s">
        <v>54</v>
      </c>
      <c r="C203" s="21" t="s">
        <v>1070</v>
      </c>
      <c r="D203" s="21" t="s">
        <v>1120</v>
      </c>
      <c r="E203" s="21" t="s">
        <v>190</v>
      </c>
      <c r="F203" s="20" t="s">
        <v>80</v>
      </c>
      <c r="G203" s="20" t="s">
        <v>121</v>
      </c>
      <c r="H203" s="21" t="s">
        <v>1098</v>
      </c>
      <c r="I203" s="21" t="s">
        <v>1121</v>
      </c>
      <c r="J203" s="21" t="s">
        <v>117</v>
      </c>
      <c r="K203" s="21" t="s">
        <v>1122</v>
      </c>
      <c r="L203" s="22"/>
      <c r="M203" s="23" t="s">
        <v>39</v>
      </c>
      <c r="N203" s="22"/>
      <c r="O203" s="24"/>
      <c r="P203" s="22"/>
      <c r="Q203" s="22"/>
    </row>
    <row r="204" customFormat="false" ht="33.75" hidden="false" customHeight="true" outlineLevel="0" collapsed="false">
      <c r="A204" s="20" t="s">
        <v>1123</v>
      </c>
      <c r="B204" s="21" t="s">
        <v>54</v>
      </c>
      <c r="C204" s="21" t="s">
        <v>1124</v>
      </c>
      <c r="D204" s="21" t="s">
        <v>1125</v>
      </c>
      <c r="E204" s="21" t="s">
        <v>178</v>
      </c>
      <c r="F204" s="20" t="s">
        <v>80</v>
      </c>
      <c r="G204" s="20" t="s">
        <v>106</v>
      </c>
      <c r="H204" s="21" t="s">
        <v>1126</v>
      </c>
      <c r="I204" s="21" t="s">
        <v>1127</v>
      </c>
      <c r="J204" s="21" t="s">
        <v>117</v>
      </c>
      <c r="K204" s="21" t="s">
        <v>1128</v>
      </c>
      <c r="L204" s="22"/>
      <c r="M204" s="23" t="s">
        <v>39</v>
      </c>
      <c r="N204" s="22"/>
      <c r="O204" s="24"/>
      <c r="P204" s="22"/>
      <c r="Q204" s="22"/>
    </row>
    <row r="205" customFormat="false" ht="61.5" hidden="false" customHeight="true" outlineLevel="0" collapsed="false">
      <c r="A205" s="20" t="s">
        <v>1129</v>
      </c>
      <c r="B205" s="21" t="s">
        <v>54</v>
      </c>
      <c r="C205" s="21" t="s">
        <v>1124</v>
      </c>
      <c r="D205" s="21" t="s">
        <v>1130</v>
      </c>
      <c r="E205" s="21" t="s">
        <v>178</v>
      </c>
      <c r="F205" s="20" t="s">
        <v>79</v>
      </c>
      <c r="G205" s="20" t="s">
        <v>106</v>
      </c>
      <c r="H205" s="21" t="s">
        <v>1131</v>
      </c>
      <c r="I205" s="21" t="s">
        <v>1132</v>
      </c>
      <c r="J205" s="21" t="s">
        <v>1133</v>
      </c>
      <c r="K205" s="21" t="s">
        <v>1134</v>
      </c>
      <c r="L205" s="22"/>
      <c r="M205" s="23" t="s">
        <v>39</v>
      </c>
      <c r="N205" s="22"/>
      <c r="O205" s="24"/>
      <c r="P205" s="22"/>
      <c r="Q205" s="22"/>
    </row>
    <row r="206" customFormat="false" ht="48" hidden="false" customHeight="true" outlineLevel="0" collapsed="false">
      <c r="A206" s="20" t="s">
        <v>1135</v>
      </c>
      <c r="B206" s="21" t="s">
        <v>54</v>
      </c>
      <c r="C206" s="21" t="s">
        <v>1124</v>
      </c>
      <c r="D206" s="21" t="s">
        <v>1136</v>
      </c>
      <c r="E206" s="21" t="s">
        <v>178</v>
      </c>
      <c r="F206" s="20" t="s">
        <v>79</v>
      </c>
      <c r="G206" s="20" t="s">
        <v>106</v>
      </c>
      <c r="H206" s="21" t="s">
        <v>1131</v>
      </c>
      <c r="I206" s="21" t="s">
        <v>1137</v>
      </c>
      <c r="J206" s="21" t="s">
        <v>1138</v>
      </c>
      <c r="K206" s="21" t="s">
        <v>1139</v>
      </c>
      <c r="L206" s="22"/>
      <c r="M206" s="23" t="s">
        <v>39</v>
      </c>
      <c r="N206" s="22"/>
      <c r="O206" s="24"/>
      <c r="P206" s="22"/>
      <c r="Q206" s="22"/>
    </row>
    <row r="207" customFormat="false" ht="33.75" hidden="false" customHeight="true" outlineLevel="0" collapsed="false">
      <c r="A207" s="20" t="s">
        <v>1140</v>
      </c>
      <c r="B207" s="21" t="s">
        <v>54</v>
      </c>
      <c r="C207" s="21" t="s">
        <v>1124</v>
      </c>
      <c r="D207" s="21" t="s">
        <v>1141</v>
      </c>
      <c r="E207" s="21" t="s">
        <v>178</v>
      </c>
      <c r="F207" s="20" t="s">
        <v>80</v>
      </c>
      <c r="G207" s="20" t="s">
        <v>136</v>
      </c>
      <c r="H207" s="21" t="s">
        <v>1131</v>
      </c>
      <c r="I207" s="21" t="s">
        <v>1142</v>
      </c>
      <c r="J207" s="21" t="s">
        <v>117</v>
      </c>
      <c r="K207" s="21" t="s">
        <v>1143</v>
      </c>
      <c r="L207" s="22"/>
      <c r="M207" s="23" t="s">
        <v>39</v>
      </c>
      <c r="N207" s="22"/>
      <c r="O207" s="24"/>
      <c r="P207" s="22"/>
      <c r="Q207" s="22"/>
    </row>
    <row r="208" customFormat="false" ht="48" hidden="false" customHeight="true" outlineLevel="0" collapsed="false">
      <c r="A208" s="20" t="s">
        <v>1144</v>
      </c>
      <c r="B208" s="21" t="s">
        <v>54</v>
      </c>
      <c r="C208" s="21" t="s">
        <v>1124</v>
      </c>
      <c r="D208" s="21" t="s">
        <v>1145</v>
      </c>
      <c r="E208" s="21" t="s">
        <v>178</v>
      </c>
      <c r="F208" s="20" t="s">
        <v>80</v>
      </c>
      <c r="G208" s="20" t="s">
        <v>106</v>
      </c>
      <c r="H208" s="21" t="s">
        <v>1131</v>
      </c>
      <c r="I208" s="21" t="s">
        <v>1146</v>
      </c>
      <c r="J208" s="21" t="s">
        <v>117</v>
      </c>
      <c r="K208" s="21" t="s">
        <v>1147</v>
      </c>
      <c r="L208" s="22"/>
      <c r="M208" s="23" t="s">
        <v>39</v>
      </c>
      <c r="N208" s="22"/>
      <c r="O208" s="24"/>
      <c r="P208" s="22"/>
      <c r="Q208" s="22"/>
    </row>
    <row r="209" customFormat="false" ht="33.75" hidden="false" customHeight="true" outlineLevel="0" collapsed="false">
      <c r="A209" s="20" t="s">
        <v>1148</v>
      </c>
      <c r="B209" s="21" t="s">
        <v>54</v>
      </c>
      <c r="C209" s="21" t="s">
        <v>1070</v>
      </c>
      <c r="D209" s="21" t="s">
        <v>1149</v>
      </c>
      <c r="E209" s="21" t="s">
        <v>190</v>
      </c>
      <c r="F209" s="20" t="s">
        <v>79</v>
      </c>
      <c r="G209" s="20" t="s">
        <v>106</v>
      </c>
      <c r="H209" s="21" t="s">
        <v>1150</v>
      </c>
      <c r="I209" s="21" t="s">
        <v>1151</v>
      </c>
      <c r="J209" s="21" t="s">
        <v>117</v>
      </c>
      <c r="K209" s="21" t="s">
        <v>1152</v>
      </c>
      <c r="L209" s="22"/>
      <c r="M209" s="23" t="s">
        <v>39</v>
      </c>
      <c r="N209" s="22"/>
      <c r="O209" s="24"/>
      <c r="P209" s="22"/>
      <c r="Q209" s="22"/>
    </row>
    <row r="210" customFormat="false" ht="48" hidden="false" customHeight="true" outlineLevel="0" collapsed="false">
      <c r="A210" s="20" t="s">
        <v>1153</v>
      </c>
      <c r="B210" s="21" t="s">
        <v>54</v>
      </c>
      <c r="C210" s="21" t="s">
        <v>1070</v>
      </c>
      <c r="D210" s="21" t="s">
        <v>1154</v>
      </c>
      <c r="E210" s="21" t="s">
        <v>190</v>
      </c>
      <c r="F210" s="20" t="s">
        <v>80</v>
      </c>
      <c r="G210" s="20" t="s">
        <v>136</v>
      </c>
      <c r="H210" s="21" t="s">
        <v>1155</v>
      </c>
      <c r="I210" s="21" t="s">
        <v>1156</v>
      </c>
      <c r="J210" s="21" t="s">
        <v>117</v>
      </c>
      <c r="K210" s="21" t="s">
        <v>1157</v>
      </c>
      <c r="L210" s="22"/>
      <c r="M210" s="23" t="s">
        <v>39</v>
      </c>
      <c r="N210" s="22"/>
      <c r="O210" s="24"/>
      <c r="P210" s="22"/>
      <c r="Q210" s="22"/>
    </row>
    <row r="211" customFormat="false" ht="48" hidden="false" customHeight="true" outlineLevel="0" collapsed="false">
      <c r="A211" s="20" t="s">
        <v>1158</v>
      </c>
      <c r="B211" s="21" t="s">
        <v>54</v>
      </c>
      <c r="C211" s="21" t="s">
        <v>1070</v>
      </c>
      <c r="D211" s="21" t="s">
        <v>1159</v>
      </c>
      <c r="E211" s="21" t="s">
        <v>190</v>
      </c>
      <c r="F211" s="20" t="s">
        <v>80</v>
      </c>
      <c r="G211" s="20" t="s">
        <v>136</v>
      </c>
      <c r="H211" s="21" t="s">
        <v>1160</v>
      </c>
      <c r="I211" s="21" t="s">
        <v>1161</v>
      </c>
      <c r="J211" s="21" t="s">
        <v>117</v>
      </c>
      <c r="K211" s="21" t="s">
        <v>1162</v>
      </c>
      <c r="L211" s="22"/>
      <c r="M211" s="23" t="s">
        <v>39</v>
      </c>
      <c r="N211" s="22"/>
      <c r="O211" s="24"/>
      <c r="P211" s="22"/>
      <c r="Q211" s="22"/>
    </row>
    <row r="212" customFormat="false" ht="75.75" hidden="false" customHeight="true" outlineLevel="0" collapsed="false">
      <c r="A212" s="20" t="s">
        <v>1163</v>
      </c>
      <c r="B212" s="21" t="s">
        <v>55</v>
      </c>
      <c r="C212" s="21" t="s">
        <v>210</v>
      </c>
      <c r="D212" s="21" t="s">
        <v>1164</v>
      </c>
      <c r="E212" s="21" t="s">
        <v>190</v>
      </c>
      <c r="F212" s="20" t="s">
        <v>79</v>
      </c>
      <c r="G212" s="20" t="s">
        <v>106</v>
      </c>
      <c r="H212" s="21" t="s">
        <v>1165</v>
      </c>
      <c r="I212" s="21" t="s">
        <v>1166</v>
      </c>
      <c r="J212" s="21" t="s">
        <v>1167</v>
      </c>
      <c r="K212" s="21" t="s">
        <v>1168</v>
      </c>
      <c r="L212" s="22"/>
      <c r="M212" s="23" t="s">
        <v>39</v>
      </c>
      <c r="N212" s="22"/>
      <c r="O212" s="24"/>
      <c r="P212" s="22"/>
      <c r="Q212" s="22"/>
    </row>
    <row r="213" customFormat="false" ht="33.75" hidden="false" customHeight="true" outlineLevel="0" collapsed="false">
      <c r="A213" s="20" t="s">
        <v>1169</v>
      </c>
      <c r="B213" s="21" t="s">
        <v>55</v>
      </c>
      <c r="C213" s="21" t="s">
        <v>210</v>
      </c>
      <c r="D213" s="21" t="s">
        <v>1170</v>
      </c>
      <c r="E213" s="21" t="s">
        <v>190</v>
      </c>
      <c r="F213" s="20" t="s">
        <v>79</v>
      </c>
      <c r="G213" s="20" t="s">
        <v>136</v>
      </c>
      <c r="H213" s="21" t="s">
        <v>1171</v>
      </c>
      <c r="I213" s="21" t="s">
        <v>1172</v>
      </c>
      <c r="J213" s="21" t="s">
        <v>117</v>
      </c>
      <c r="K213" s="21" t="s">
        <v>1173</v>
      </c>
      <c r="L213" s="22"/>
      <c r="M213" s="23" t="s">
        <v>39</v>
      </c>
      <c r="N213" s="22"/>
      <c r="O213" s="24"/>
      <c r="P213" s="22"/>
      <c r="Q213" s="22"/>
    </row>
    <row r="214" customFormat="false" ht="33.75" hidden="false" customHeight="true" outlineLevel="0" collapsed="false">
      <c r="A214" s="20" t="s">
        <v>1174</v>
      </c>
      <c r="B214" s="21" t="s">
        <v>55</v>
      </c>
      <c r="C214" s="21" t="s">
        <v>210</v>
      </c>
      <c r="D214" s="21" t="s">
        <v>1175</v>
      </c>
      <c r="E214" s="21" t="s">
        <v>190</v>
      </c>
      <c r="F214" s="20" t="s">
        <v>79</v>
      </c>
      <c r="G214" s="20" t="s">
        <v>136</v>
      </c>
      <c r="H214" s="21" t="s">
        <v>1176</v>
      </c>
      <c r="I214" s="21" t="s">
        <v>1177</v>
      </c>
      <c r="J214" s="21" t="s">
        <v>117</v>
      </c>
      <c r="K214" s="21" t="s">
        <v>1178</v>
      </c>
      <c r="L214" s="22"/>
      <c r="M214" s="23" t="s">
        <v>39</v>
      </c>
      <c r="N214" s="22"/>
      <c r="O214" s="24"/>
      <c r="P214" s="22"/>
      <c r="Q214" s="22"/>
    </row>
    <row r="215" customFormat="false" ht="48" hidden="false" customHeight="true" outlineLevel="0" collapsed="false">
      <c r="A215" s="20" t="s">
        <v>1179</v>
      </c>
      <c r="B215" s="21" t="s">
        <v>55</v>
      </c>
      <c r="C215" s="21" t="s">
        <v>210</v>
      </c>
      <c r="D215" s="21" t="s">
        <v>1180</v>
      </c>
      <c r="E215" s="21" t="s">
        <v>190</v>
      </c>
      <c r="F215" s="20" t="s">
        <v>79</v>
      </c>
      <c r="G215" s="20" t="s">
        <v>136</v>
      </c>
      <c r="H215" s="21" t="s">
        <v>1181</v>
      </c>
      <c r="I215" s="21" t="s">
        <v>1182</v>
      </c>
      <c r="J215" s="21" t="s">
        <v>117</v>
      </c>
      <c r="K215" s="21" t="s">
        <v>1183</v>
      </c>
      <c r="L215" s="22"/>
      <c r="M215" s="23" t="s">
        <v>39</v>
      </c>
      <c r="N215" s="22"/>
      <c r="O215" s="24"/>
      <c r="P215" s="22"/>
      <c r="Q215" s="22"/>
    </row>
    <row r="216" customFormat="false" ht="48" hidden="false" customHeight="true" outlineLevel="0" collapsed="false">
      <c r="A216" s="20" t="s">
        <v>1184</v>
      </c>
      <c r="B216" s="21" t="s">
        <v>55</v>
      </c>
      <c r="C216" s="21" t="s">
        <v>210</v>
      </c>
      <c r="D216" s="21" t="s">
        <v>1185</v>
      </c>
      <c r="E216" s="21" t="s">
        <v>190</v>
      </c>
      <c r="F216" s="20" t="s">
        <v>79</v>
      </c>
      <c r="G216" s="20" t="s">
        <v>136</v>
      </c>
      <c r="H216" s="21" t="s">
        <v>1186</v>
      </c>
      <c r="I216" s="21" t="s">
        <v>1187</v>
      </c>
      <c r="J216" s="21" t="s">
        <v>117</v>
      </c>
      <c r="K216" s="21" t="s">
        <v>1188</v>
      </c>
      <c r="L216" s="22"/>
      <c r="M216" s="23" t="s">
        <v>39</v>
      </c>
      <c r="N216" s="22"/>
      <c r="O216" s="24"/>
      <c r="P216" s="22"/>
      <c r="Q216" s="22"/>
    </row>
    <row r="217" customFormat="false" ht="48" hidden="false" customHeight="true" outlineLevel="0" collapsed="false">
      <c r="A217" s="20" t="s">
        <v>1189</v>
      </c>
      <c r="B217" s="21" t="s">
        <v>55</v>
      </c>
      <c r="C217" s="21" t="s">
        <v>210</v>
      </c>
      <c r="D217" s="21" t="s">
        <v>1190</v>
      </c>
      <c r="E217" s="21" t="s">
        <v>190</v>
      </c>
      <c r="F217" s="20" t="s">
        <v>79</v>
      </c>
      <c r="G217" s="20" t="s">
        <v>136</v>
      </c>
      <c r="H217" s="21" t="s">
        <v>1191</v>
      </c>
      <c r="I217" s="21" t="s">
        <v>1192</v>
      </c>
      <c r="J217" s="21" t="s">
        <v>117</v>
      </c>
      <c r="K217" s="21" t="s">
        <v>1193</v>
      </c>
      <c r="L217" s="22"/>
      <c r="M217" s="23" t="s">
        <v>39</v>
      </c>
      <c r="N217" s="22"/>
      <c r="O217" s="24"/>
      <c r="P217" s="22"/>
      <c r="Q217" s="22"/>
    </row>
    <row r="218" customFormat="false" ht="33.75" hidden="false" customHeight="true" outlineLevel="0" collapsed="false">
      <c r="A218" s="20" t="s">
        <v>1194</v>
      </c>
      <c r="B218" s="21" t="s">
        <v>55</v>
      </c>
      <c r="C218" s="21" t="s">
        <v>210</v>
      </c>
      <c r="D218" s="21" t="s">
        <v>1195</v>
      </c>
      <c r="E218" s="21" t="s">
        <v>190</v>
      </c>
      <c r="F218" s="20" t="s">
        <v>81</v>
      </c>
      <c r="G218" s="20" t="s">
        <v>106</v>
      </c>
      <c r="H218" s="21" t="s">
        <v>1196</v>
      </c>
      <c r="I218" s="21" t="s">
        <v>1197</v>
      </c>
      <c r="J218" s="21" t="s">
        <v>117</v>
      </c>
      <c r="K218" s="21" t="s">
        <v>1198</v>
      </c>
      <c r="L218" s="22"/>
      <c r="M218" s="23" t="s">
        <v>39</v>
      </c>
      <c r="N218" s="22"/>
      <c r="O218" s="24"/>
      <c r="P218" s="22"/>
      <c r="Q218" s="22"/>
    </row>
    <row r="219" customFormat="false" ht="33.75" hidden="false" customHeight="true" outlineLevel="0" collapsed="false">
      <c r="A219" s="20" t="s">
        <v>1199</v>
      </c>
      <c r="B219" s="21" t="s">
        <v>55</v>
      </c>
      <c r="C219" s="21" t="s">
        <v>1200</v>
      </c>
      <c r="D219" s="21" t="s">
        <v>1201</v>
      </c>
      <c r="E219" s="21" t="s">
        <v>190</v>
      </c>
      <c r="F219" s="20" t="s">
        <v>80</v>
      </c>
      <c r="G219" s="20" t="s">
        <v>136</v>
      </c>
      <c r="H219" s="21" t="s">
        <v>1176</v>
      </c>
      <c r="I219" s="21" t="s">
        <v>1202</v>
      </c>
      <c r="J219" s="21" t="s">
        <v>117</v>
      </c>
      <c r="K219" s="21" t="s">
        <v>1203</v>
      </c>
      <c r="L219" s="22"/>
      <c r="M219" s="23" t="s">
        <v>39</v>
      </c>
      <c r="N219" s="22"/>
      <c r="O219" s="24"/>
      <c r="P219" s="22"/>
      <c r="Q219" s="22"/>
    </row>
    <row r="220" customFormat="false" ht="48" hidden="false" customHeight="true" outlineLevel="0" collapsed="false">
      <c r="A220" s="20" t="s">
        <v>1204</v>
      </c>
      <c r="B220" s="21" t="s">
        <v>55</v>
      </c>
      <c r="C220" s="21" t="s">
        <v>1200</v>
      </c>
      <c r="D220" s="21" t="s">
        <v>1205</v>
      </c>
      <c r="E220" s="21" t="s">
        <v>190</v>
      </c>
      <c r="F220" s="20" t="s">
        <v>80</v>
      </c>
      <c r="G220" s="20" t="s">
        <v>114</v>
      </c>
      <c r="H220" s="21" t="s">
        <v>1176</v>
      </c>
      <c r="I220" s="21" t="s">
        <v>1206</v>
      </c>
      <c r="J220" s="21" t="s">
        <v>117</v>
      </c>
      <c r="K220" s="21" t="s">
        <v>1207</v>
      </c>
      <c r="L220" s="22"/>
      <c r="M220" s="23" t="s">
        <v>39</v>
      </c>
      <c r="N220" s="22"/>
      <c r="O220" s="24"/>
      <c r="P220" s="22"/>
      <c r="Q220" s="22"/>
    </row>
    <row r="221" customFormat="false" ht="33.75" hidden="false" customHeight="true" outlineLevel="0" collapsed="false">
      <c r="A221" s="20" t="s">
        <v>1208</v>
      </c>
      <c r="B221" s="21" t="s">
        <v>55</v>
      </c>
      <c r="C221" s="21" t="s">
        <v>1200</v>
      </c>
      <c r="D221" s="21" t="s">
        <v>1209</v>
      </c>
      <c r="E221" s="21" t="s">
        <v>190</v>
      </c>
      <c r="F221" s="20" t="s">
        <v>81</v>
      </c>
      <c r="G221" s="20" t="s">
        <v>106</v>
      </c>
      <c r="H221" s="21" t="s">
        <v>1176</v>
      </c>
      <c r="I221" s="21" t="s">
        <v>1210</v>
      </c>
      <c r="J221" s="21" t="s">
        <v>117</v>
      </c>
      <c r="K221" s="21" t="s">
        <v>1198</v>
      </c>
      <c r="L221" s="22"/>
      <c r="M221" s="23" t="s">
        <v>39</v>
      </c>
      <c r="N221" s="22"/>
      <c r="O221" s="24"/>
      <c r="P221" s="22"/>
      <c r="Q221" s="22"/>
    </row>
    <row r="222" customFormat="false" ht="48" hidden="false" customHeight="true" outlineLevel="0" collapsed="false">
      <c r="A222" s="20" t="s">
        <v>1211</v>
      </c>
      <c r="B222" s="21" t="s">
        <v>55</v>
      </c>
      <c r="C222" s="21" t="s">
        <v>1200</v>
      </c>
      <c r="D222" s="21" t="s">
        <v>1212</v>
      </c>
      <c r="E222" s="21" t="s">
        <v>1213</v>
      </c>
      <c r="F222" s="20" t="s">
        <v>80</v>
      </c>
      <c r="G222" s="20" t="s">
        <v>121</v>
      </c>
      <c r="H222" s="21" t="s">
        <v>1214</v>
      </c>
      <c r="I222" s="21" t="s">
        <v>1215</v>
      </c>
      <c r="J222" s="21" t="s">
        <v>117</v>
      </c>
      <c r="K222" s="21" t="s">
        <v>1216</v>
      </c>
      <c r="L222" s="22"/>
      <c r="M222" s="23" t="s">
        <v>39</v>
      </c>
      <c r="N222" s="22"/>
      <c r="O222" s="24"/>
      <c r="P222" s="22"/>
      <c r="Q222" s="22"/>
    </row>
    <row r="223" customFormat="false" ht="48" hidden="false" customHeight="true" outlineLevel="0" collapsed="false">
      <c r="A223" s="20" t="s">
        <v>1217</v>
      </c>
      <c r="B223" s="21" t="s">
        <v>55</v>
      </c>
      <c r="C223" s="21" t="s">
        <v>210</v>
      </c>
      <c r="D223" s="21" t="s">
        <v>1218</v>
      </c>
      <c r="E223" s="21" t="s">
        <v>190</v>
      </c>
      <c r="F223" s="20" t="s">
        <v>80</v>
      </c>
      <c r="G223" s="20" t="s">
        <v>106</v>
      </c>
      <c r="H223" s="21" t="s">
        <v>1219</v>
      </c>
      <c r="I223" s="21" t="s">
        <v>1220</v>
      </c>
      <c r="J223" s="21" t="s">
        <v>117</v>
      </c>
      <c r="K223" s="21" t="s">
        <v>1221</v>
      </c>
      <c r="L223" s="22"/>
      <c r="M223" s="23" t="s">
        <v>39</v>
      </c>
      <c r="N223" s="22"/>
      <c r="O223" s="24"/>
      <c r="P223" s="22"/>
      <c r="Q223" s="22"/>
    </row>
    <row r="224" customFormat="false" ht="33.75" hidden="false" customHeight="true" outlineLevel="0" collapsed="false">
      <c r="A224" s="20" t="s">
        <v>1222</v>
      </c>
      <c r="B224" s="21" t="s">
        <v>55</v>
      </c>
      <c r="C224" s="21" t="s">
        <v>210</v>
      </c>
      <c r="D224" s="21" t="s">
        <v>1223</v>
      </c>
      <c r="E224" s="21" t="s">
        <v>190</v>
      </c>
      <c r="F224" s="20" t="s">
        <v>80</v>
      </c>
      <c r="G224" s="20" t="s">
        <v>114</v>
      </c>
      <c r="H224" s="21" t="s">
        <v>1176</v>
      </c>
      <c r="I224" s="21" t="s">
        <v>1224</v>
      </c>
      <c r="J224" s="21" t="s">
        <v>117</v>
      </c>
      <c r="K224" s="21" t="s">
        <v>1225</v>
      </c>
      <c r="L224" s="22"/>
      <c r="M224" s="23" t="s">
        <v>39</v>
      </c>
      <c r="N224" s="22"/>
      <c r="O224" s="24"/>
      <c r="P224" s="22"/>
      <c r="Q224" s="22"/>
    </row>
    <row r="225" customFormat="false" ht="33.75" hidden="false" customHeight="true" outlineLevel="0" collapsed="false">
      <c r="A225" s="20" t="s">
        <v>1226</v>
      </c>
      <c r="B225" s="21" t="s">
        <v>55</v>
      </c>
      <c r="C225" s="21" t="s">
        <v>334</v>
      </c>
      <c r="D225" s="21" t="s">
        <v>1227</v>
      </c>
      <c r="E225" s="21" t="s">
        <v>190</v>
      </c>
      <c r="F225" s="20" t="s">
        <v>80</v>
      </c>
      <c r="G225" s="20" t="s">
        <v>106</v>
      </c>
      <c r="H225" s="21" t="s">
        <v>1228</v>
      </c>
      <c r="I225" s="21" t="s">
        <v>1229</v>
      </c>
      <c r="J225" s="21" t="s">
        <v>117</v>
      </c>
      <c r="K225" s="21" t="s">
        <v>1230</v>
      </c>
      <c r="L225" s="22"/>
      <c r="M225" s="23" t="s">
        <v>39</v>
      </c>
      <c r="N225" s="22"/>
      <c r="O225" s="24"/>
      <c r="P225" s="22"/>
      <c r="Q225" s="22"/>
    </row>
    <row r="226" customFormat="false" ht="33.75" hidden="false" customHeight="true" outlineLevel="0" collapsed="false">
      <c r="A226" s="20" t="s">
        <v>1231</v>
      </c>
      <c r="B226" s="21" t="s">
        <v>55</v>
      </c>
      <c r="C226" s="21" t="s">
        <v>334</v>
      </c>
      <c r="D226" s="21" t="s">
        <v>1232</v>
      </c>
      <c r="E226" s="21" t="s">
        <v>190</v>
      </c>
      <c r="F226" s="20" t="s">
        <v>79</v>
      </c>
      <c r="G226" s="20" t="s">
        <v>136</v>
      </c>
      <c r="H226" s="21" t="s">
        <v>1233</v>
      </c>
      <c r="I226" s="21" t="s">
        <v>1234</v>
      </c>
      <c r="J226" s="21" t="s">
        <v>117</v>
      </c>
      <c r="K226" s="21" t="s">
        <v>1235</v>
      </c>
      <c r="L226" s="22"/>
      <c r="M226" s="23" t="s">
        <v>39</v>
      </c>
      <c r="N226" s="22"/>
      <c r="O226" s="24"/>
      <c r="P226" s="22"/>
      <c r="Q226" s="22"/>
    </row>
    <row r="227" customFormat="false" ht="33.75" hidden="false" customHeight="true" outlineLevel="0" collapsed="false">
      <c r="A227" s="20" t="s">
        <v>1236</v>
      </c>
      <c r="B227" s="21" t="s">
        <v>55</v>
      </c>
      <c r="C227" s="21" t="s">
        <v>350</v>
      </c>
      <c r="D227" s="21" t="s">
        <v>1237</v>
      </c>
      <c r="E227" s="21" t="s">
        <v>190</v>
      </c>
      <c r="F227" s="20" t="s">
        <v>80</v>
      </c>
      <c r="G227" s="20" t="s">
        <v>121</v>
      </c>
      <c r="H227" s="21" t="s">
        <v>1238</v>
      </c>
      <c r="I227" s="21" t="s">
        <v>1239</v>
      </c>
      <c r="J227" s="21" t="s">
        <v>117</v>
      </c>
      <c r="K227" s="21" t="s">
        <v>1240</v>
      </c>
      <c r="L227" s="22"/>
      <c r="M227" s="23" t="s">
        <v>39</v>
      </c>
      <c r="N227" s="22"/>
      <c r="O227" s="24"/>
      <c r="P227" s="22"/>
      <c r="Q227" s="22"/>
    </row>
    <row r="228" customFormat="false" ht="33.75" hidden="false" customHeight="true" outlineLevel="0" collapsed="false">
      <c r="A228" s="20" t="s">
        <v>1241</v>
      </c>
      <c r="B228" s="21" t="s">
        <v>55</v>
      </c>
      <c r="C228" s="21" t="s">
        <v>210</v>
      </c>
      <c r="D228" s="21" t="s">
        <v>1242</v>
      </c>
      <c r="E228" s="21" t="s">
        <v>190</v>
      </c>
      <c r="F228" s="20" t="s">
        <v>79</v>
      </c>
      <c r="G228" s="20" t="s">
        <v>121</v>
      </c>
      <c r="H228" s="21" t="s">
        <v>282</v>
      </c>
      <c r="I228" s="21" t="s">
        <v>1243</v>
      </c>
      <c r="J228" s="21" t="s">
        <v>117</v>
      </c>
      <c r="K228" s="21" t="s">
        <v>1244</v>
      </c>
      <c r="L228" s="22"/>
      <c r="M228" s="23" t="s">
        <v>39</v>
      </c>
      <c r="N228" s="22"/>
      <c r="O228" s="24"/>
      <c r="P228" s="22"/>
      <c r="Q228" s="22"/>
    </row>
    <row r="229" customFormat="false" ht="48" hidden="false" customHeight="true" outlineLevel="0" collapsed="false">
      <c r="A229" s="20" t="s">
        <v>1245</v>
      </c>
      <c r="B229" s="21" t="s">
        <v>55</v>
      </c>
      <c r="C229" s="21" t="s">
        <v>210</v>
      </c>
      <c r="D229" s="21" t="s">
        <v>1246</v>
      </c>
      <c r="E229" s="21" t="s">
        <v>1247</v>
      </c>
      <c r="F229" s="20" t="s">
        <v>80</v>
      </c>
      <c r="G229" s="20" t="s">
        <v>136</v>
      </c>
      <c r="H229" s="21" t="s">
        <v>1248</v>
      </c>
      <c r="I229" s="21" t="s">
        <v>1249</v>
      </c>
      <c r="J229" s="21" t="s">
        <v>117</v>
      </c>
      <c r="K229" s="21" t="s">
        <v>1250</v>
      </c>
      <c r="L229" s="22"/>
      <c r="M229" s="23" t="s">
        <v>39</v>
      </c>
      <c r="N229" s="22"/>
      <c r="O229" s="24"/>
      <c r="P229" s="22"/>
      <c r="Q229" s="22"/>
    </row>
    <row r="230" customFormat="false" ht="75.75" hidden="false" customHeight="true" outlineLevel="0" collapsed="false">
      <c r="A230" s="20" t="s">
        <v>1251</v>
      </c>
      <c r="B230" s="21" t="s">
        <v>56</v>
      </c>
      <c r="C230" s="21" t="s">
        <v>438</v>
      </c>
      <c r="D230" s="21" t="s">
        <v>1252</v>
      </c>
      <c r="E230" s="21" t="s">
        <v>1253</v>
      </c>
      <c r="F230" s="20" t="s">
        <v>79</v>
      </c>
      <c r="G230" s="20" t="s">
        <v>106</v>
      </c>
      <c r="H230" s="21" t="s">
        <v>1254</v>
      </c>
      <c r="I230" s="21" t="s">
        <v>1255</v>
      </c>
      <c r="J230" s="21" t="s">
        <v>117</v>
      </c>
      <c r="K230" s="21" t="s">
        <v>1256</v>
      </c>
      <c r="L230" s="22"/>
      <c r="M230" s="23" t="s">
        <v>39</v>
      </c>
      <c r="N230" s="22"/>
      <c r="O230" s="24"/>
      <c r="P230" s="22"/>
      <c r="Q230" s="22"/>
    </row>
    <row r="231" customFormat="false" ht="33.75" hidden="false" customHeight="true" outlineLevel="0" collapsed="false">
      <c r="A231" s="20" t="s">
        <v>1257</v>
      </c>
      <c r="B231" s="21" t="s">
        <v>56</v>
      </c>
      <c r="C231" s="21" t="s">
        <v>438</v>
      </c>
      <c r="D231" s="21" t="s">
        <v>1258</v>
      </c>
      <c r="E231" s="21" t="s">
        <v>1253</v>
      </c>
      <c r="F231" s="20" t="s">
        <v>79</v>
      </c>
      <c r="G231" s="20" t="s">
        <v>121</v>
      </c>
      <c r="H231" s="21" t="s">
        <v>1259</v>
      </c>
      <c r="I231" s="21" t="s">
        <v>1260</v>
      </c>
      <c r="J231" s="21" t="s">
        <v>117</v>
      </c>
      <c r="K231" s="21" t="s">
        <v>1261</v>
      </c>
      <c r="L231" s="22"/>
      <c r="M231" s="23" t="s">
        <v>39</v>
      </c>
      <c r="N231" s="22"/>
      <c r="O231" s="24"/>
      <c r="P231" s="22"/>
      <c r="Q231" s="22"/>
    </row>
    <row r="232" customFormat="false" ht="61.5" hidden="false" customHeight="true" outlineLevel="0" collapsed="false">
      <c r="A232" s="20" t="s">
        <v>1262</v>
      </c>
      <c r="B232" s="21" t="s">
        <v>56</v>
      </c>
      <c r="C232" s="21" t="s">
        <v>438</v>
      </c>
      <c r="D232" s="21" t="s">
        <v>1263</v>
      </c>
      <c r="E232" s="21" t="s">
        <v>1253</v>
      </c>
      <c r="F232" s="20" t="s">
        <v>79</v>
      </c>
      <c r="G232" s="20" t="s">
        <v>114</v>
      </c>
      <c r="H232" s="21" t="s">
        <v>1259</v>
      </c>
      <c r="I232" s="21" t="s">
        <v>1264</v>
      </c>
      <c r="J232" s="21" t="s">
        <v>117</v>
      </c>
      <c r="K232" s="21" t="s">
        <v>1265</v>
      </c>
      <c r="L232" s="22"/>
      <c r="M232" s="23" t="s">
        <v>39</v>
      </c>
      <c r="N232" s="22"/>
      <c r="O232" s="24"/>
      <c r="P232" s="22"/>
      <c r="Q232" s="22"/>
    </row>
    <row r="233" customFormat="false" ht="48" hidden="false" customHeight="true" outlineLevel="0" collapsed="false">
      <c r="A233" s="20" t="s">
        <v>1266</v>
      </c>
      <c r="B233" s="21" t="s">
        <v>56</v>
      </c>
      <c r="C233" s="21" t="s">
        <v>438</v>
      </c>
      <c r="D233" s="21" t="s">
        <v>1267</v>
      </c>
      <c r="E233" s="21" t="s">
        <v>1253</v>
      </c>
      <c r="F233" s="20" t="s">
        <v>80</v>
      </c>
      <c r="G233" s="20" t="s">
        <v>136</v>
      </c>
      <c r="H233" s="21" t="s">
        <v>1259</v>
      </c>
      <c r="I233" s="21" t="s">
        <v>1268</v>
      </c>
      <c r="J233" s="21" t="s">
        <v>117</v>
      </c>
      <c r="K233" s="21" t="s">
        <v>1269</v>
      </c>
      <c r="L233" s="22"/>
      <c r="M233" s="23" t="s">
        <v>39</v>
      </c>
      <c r="N233" s="22"/>
      <c r="O233" s="24"/>
      <c r="P233" s="22"/>
      <c r="Q233" s="22"/>
    </row>
    <row r="234" customFormat="false" ht="33.75" hidden="false" customHeight="true" outlineLevel="0" collapsed="false">
      <c r="A234" s="20" t="s">
        <v>1270</v>
      </c>
      <c r="B234" s="21" t="s">
        <v>56</v>
      </c>
      <c r="C234" s="21" t="s">
        <v>438</v>
      </c>
      <c r="D234" s="21" t="s">
        <v>1271</v>
      </c>
      <c r="E234" s="21" t="s">
        <v>1253</v>
      </c>
      <c r="F234" s="20" t="s">
        <v>80</v>
      </c>
      <c r="G234" s="20" t="s">
        <v>106</v>
      </c>
      <c r="H234" s="21" t="s">
        <v>1259</v>
      </c>
      <c r="I234" s="21" t="s">
        <v>1272</v>
      </c>
      <c r="J234" s="21" t="s">
        <v>117</v>
      </c>
      <c r="K234" s="21" t="s">
        <v>1273</v>
      </c>
      <c r="L234" s="22"/>
      <c r="M234" s="23" t="s">
        <v>39</v>
      </c>
      <c r="N234" s="22"/>
      <c r="O234" s="24"/>
      <c r="P234" s="22"/>
      <c r="Q234" s="22"/>
    </row>
    <row r="235" customFormat="false" ht="48" hidden="false" customHeight="true" outlineLevel="0" collapsed="false">
      <c r="A235" s="20" t="s">
        <v>1274</v>
      </c>
      <c r="B235" s="21" t="s">
        <v>56</v>
      </c>
      <c r="C235" s="21" t="s">
        <v>438</v>
      </c>
      <c r="D235" s="21" t="s">
        <v>1275</v>
      </c>
      <c r="E235" s="21" t="s">
        <v>1253</v>
      </c>
      <c r="F235" s="20" t="s">
        <v>80</v>
      </c>
      <c r="G235" s="20" t="s">
        <v>114</v>
      </c>
      <c r="H235" s="21" t="s">
        <v>1259</v>
      </c>
      <c r="I235" s="21" t="s">
        <v>1276</v>
      </c>
      <c r="J235" s="21" t="s">
        <v>117</v>
      </c>
      <c r="K235" s="21" t="s">
        <v>1277</v>
      </c>
      <c r="L235" s="22"/>
      <c r="M235" s="23" t="s">
        <v>39</v>
      </c>
      <c r="N235" s="22"/>
      <c r="O235" s="24"/>
      <c r="P235" s="22"/>
      <c r="Q235" s="22"/>
    </row>
    <row r="236" customFormat="false" ht="33.75" hidden="false" customHeight="true" outlineLevel="0" collapsed="false">
      <c r="A236" s="20" t="s">
        <v>1278</v>
      </c>
      <c r="B236" s="21" t="s">
        <v>56</v>
      </c>
      <c r="C236" s="21" t="s">
        <v>438</v>
      </c>
      <c r="D236" s="21" t="s">
        <v>1279</v>
      </c>
      <c r="E236" s="21" t="s">
        <v>1253</v>
      </c>
      <c r="F236" s="20" t="s">
        <v>80</v>
      </c>
      <c r="G236" s="20" t="s">
        <v>106</v>
      </c>
      <c r="H236" s="21" t="s">
        <v>1280</v>
      </c>
      <c r="I236" s="21" t="s">
        <v>1281</v>
      </c>
      <c r="J236" s="21" t="s">
        <v>117</v>
      </c>
      <c r="K236" s="21" t="s">
        <v>1282</v>
      </c>
      <c r="L236" s="22"/>
      <c r="M236" s="23" t="s">
        <v>39</v>
      </c>
      <c r="N236" s="22"/>
      <c r="O236" s="24"/>
      <c r="P236" s="22"/>
      <c r="Q236" s="22"/>
    </row>
    <row r="237" customFormat="false" ht="48" hidden="false" customHeight="true" outlineLevel="0" collapsed="false">
      <c r="A237" s="20" t="s">
        <v>1283</v>
      </c>
      <c r="B237" s="21" t="s">
        <v>56</v>
      </c>
      <c r="C237" s="21" t="s">
        <v>438</v>
      </c>
      <c r="D237" s="21" t="s">
        <v>1284</v>
      </c>
      <c r="E237" s="21" t="s">
        <v>1253</v>
      </c>
      <c r="F237" s="20" t="s">
        <v>79</v>
      </c>
      <c r="G237" s="20" t="s">
        <v>136</v>
      </c>
      <c r="H237" s="21" t="s">
        <v>1285</v>
      </c>
      <c r="I237" s="21" t="s">
        <v>1286</v>
      </c>
      <c r="J237" s="21" t="s">
        <v>117</v>
      </c>
      <c r="K237" s="21" t="s">
        <v>1287</v>
      </c>
      <c r="L237" s="22"/>
      <c r="M237" s="23" t="s">
        <v>39</v>
      </c>
      <c r="N237" s="22"/>
      <c r="O237" s="24"/>
      <c r="P237" s="22"/>
      <c r="Q237" s="22"/>
    </row>
    <row r="238" customFormat="false" ht="33.75" hidden="false" customHeight="true" outlineLevel="0" collapsed="false">
      <c r="A238" s="20" t="s">
        <v>1288</v>
      </c>
      <c r="B238" s="21" t="s">
        <v>56</v>
      </c>
      <c r="C238" s="21" t="s">
        <v>438</v>
      </c>
      <c r="D238" s="21" t="s">
        <v>1289</v>
      </c>
      <c r="E238" s="21" t="s">
        <v>1253</v>
      </c>
      <c r="F238" s="20" t="s">
        <v>79</v>
      </c>
      <c r="G238" s="20" t="s">
        <v>121</v>
      </c>
      <c r="H238" s="21" t="s">
        <v>1290</v>
      </c>
      <c r="I238" s="21" t="s">
        <v>1291</v>
      </c>
      <c r="J238" s="21" t="s">
        <v>117</v>
      </c>
      <c r="K238" s="21" t="s">
        <v>1292</v>
      </c>
      <c r="L238" s="22"/>
      <c r="M238" s="23" t="s">
        <v>39</v>
      </c>
      <c r="N238" s="22"/>
      <c r="O238" s="24"/>
      <c r="P238" s="22"/>
      <c r="Q238" s="22"/>
    </row>
    <row r="239" customFormat="false" ht="33.75" hidden="false" customHeight="true" outlineLevel="0" collapsed="false">
      <c r="A239" s="20" t="s">
        <v>1293</v>
      </c>
      <c r="B239" s="21" t="s">
        <v>56</v>
      </c>
      <c r="C239" s="21" t="s">
        <v>438</v>
      </c>
      <c r="D239" s="21" t="s">
        <v>1294</v>
      </c>
      <c r="E239" s="21" t="s">
        <v>1253</v>
      </c>
      <c r="F239" s="20" t="s">
        <v>80</v>
      </c>
      <c r="G239" s="20" t="s">
        <v>136</v>
      </c>
      <c r="H239" s="21" t="s">
        <v>1295</v>
      </c>
      <c r="I239" s="21" t="s">
        <v>1296</v>
      </c>
      <c r="J239" s="21" t="s">
        <v>117</v>
      </c>
      <c r="K239" s="21" t="s">
        <v>1297</v>
      </c>
      <c r="L239" s="22"/>
      <c r="M239" s="23" t="s">
        <v>39</v>
      </c>
      <c r="N239" s="22"/>
      <c r="O239" s="24"/>
      <c r="P239" s="22"/>
      <c r="Q239" s="22"/>
    </row>
    <row r="240" customFormat="false" ht="33.75" hidden="false" customHeight="true" outlineLevel="0" collapsed="false">
      <c r="A240" s="20" t="s">
        <v>1298</v>
      </c>
      <c r="B240" s="21" t="s">
        <v>56</v>
      </c>
      <c r="C240" s="21" t="s">
        <v>438</v>
      </c>
      <c r="D240" s="21" t="s">
        <v>1299</v>
      </c>
      <c r="E240" s="21" t="s">
        <v>1253</v>
      </c>
      <c r="F240" s="20" t="s">
        <v>81</v>
      </c>
      <c r="G240" s="20" t="s">
        <v>106</v>
      </c>
      <c r="H240" s="21" t="s">
        <v>1300</v>
      </c>
      <c r="I240" s="21" t="s">
        <v>1296</v>
      </c>
      <c r="J240" s="21" t="s">
        <v>117</v>
      </c>
      <c r="K240" s="21" t="s">
        <v>1301</v>
      </c>
      <c r="L240" s="22"/>
      <c r="M240" s="23" t="s">
        <v>39</v>
      </c>
      <c r="N240" s="22"/>
      <c r="O240" s="24"/>
      <c r="P240" s="22"/>
      <c r="Q240" s="22"/>
    </row>
    <row r="241" customFormat="false" ht="48" hidden="false" customHeight="true" outlineLevel="0" collapsed="false">
      <c r="A241" s="20" t="s">
        <v>1302</v>
      </c>
      <c r="B241" s="21" t="s">
        <v>56</v>
      </c>
      <c r="C241" s="21" t="s">
        <v>1303</v>
      </c>
      <c r="D241" s="21" t="s">
        <v>1304</v>
      </c>
      <c r="E241" s="21" t="s">
        <v>190</v>
      </c>
      <c r="F241" s="20" t="s">
        <v>79</v>
      </c>
      <c r="G241" s="20" t="s">
        <v>106</v>
      </c>
      <c r="H241" s="21" t="s">
        <v>1305</v>
      </c>
      <c r="I241" s="21" t="s">
        <v>1306</v>
      </c>
      <c r="J241" s="21" t="s">
        <v>117</v>
      </c>
      <c r="K241" s="21" t="s">
        <v>1307</v>
      </c>
      <c r="L241" s="22"/>
      <c r="M241" s="23" t="s">
        <v>39</v>
      </c>
      <c r="N241" s="22"/>
      <c r="O241" s="24"/>
      <c r="P241" s="22"/>
      <c r="Q241" s="22"/>
    </row>
    <row r="242" customFormat="false" ht="33.75" hidden="false" customHeight="true" outlineLevel="0" collapsed="false">
      <c r="A242" s="20" t="s">
        <v>1308</v>
      </c>
      <c r="B242" s="21" t="s">
        <v>56</v>
      </c>
      <c r="C242" s="21" t="s">
        <v>1303</v>
      </c>
      <c r="D242" s="21" t="s">
        <v>1309</v>
      </c>
      <c r="E242" s="21" t="s">
        <v>190</v>
      </c>
      <c r="F242" s="20" t="s">
        <v>80</v>
      </c>
      <c r="G242" s="20" t="s">
        <v>114</v>
      </c>
      <c r="H242" s="21" t="s">
        <v>1305</v>
      </c>
      <c r="I242" s="21" t="s">
        <v>1310</v>
      </c>
      <c r="J242" s="21" t="s">
        <v>1311</v>
      </c>
      <c r="K242" s="21" t="s">
        <v>1312</v>
      </c>
      <c r="L242" s="22"/>
      <c r="M242" s="23" t="s">
        <v>39</v>
      </c>
      <c r="N242" s="22"/>
      <c r="O242" s="24"/>
      <c r="P242" s="22"/>
      <c r="Q242" s="22"/>
    </row>
    <row r="243" customFormat="false" ht="33.75" hidden="false" customHeight="true" outlineLevel="0" collapsed="false">
      <c r="A243" s="20" t="s">
        <v>1313</v>
      </c>
      <c r="B243" s="21" t="s">
        <v>56</v>
      </c>
      <c r="C243" s="21" t="s">
        <v>1303</v>
      </c>
      <c r="D243" s="21" t="s">
        <v>1314</v>
      </c>
      <c r="E243" s="21" t="s">
        <v>190</v>
      </c>
      <c r="F243" s="20" t="s">
        <v>80</v>
      </c>
      <c r="G243" s="20" t="s">
        <v>136</v>
      </c>
      <c r="H243" s="21" t="s">
        <v>1315</v>
      </c>
      <c r="I243" s="21" t="s">
        <v>1316</v>
      </c>
      <c r="J243" s="21" t="s">
        <v>117</v>
      </c>
      <c r="K243" s="21" t="s">
        <v>1317</v>
      </c>
      <c r="L243" s="22"/>
      <c r="M243" s="23" t="s">
        <v>39</v>
      </c>
      <c r="N243" s="22"/>
      <c r="O243" s="24"/>
      <c r="P243" s="22"/>
      <c r="Q243" s="22"/>
    </row>
    <row r="244" customFormat="false" ht="48" hidden="false" customHeight="true" outlineLevel="0" collapsed="false">
      <c r="A244" s="20" t="s">
        <v>1318</v>
      </c>
      <c r="B244" s="21" t="s">
        <v>56</v>
      </c>
      <c r="C244" s="21" t="s">
        <v>1303</v>
      </c>
      <c r="D244" s="21" t="s">
        <v>1319</v>
      </c>
      <c r="E244" s="21" t="s">
        <v>190</v>
      </c>
      <c r="F244" s="20" t="s">
        <v>79</v>
      </c>
      <c r="G244" s="20" t="s">
        <v>114</v>
      </c>
      <c r="H244" s="21" t="s">
        <v>1320</v>
      </c>
      <c r="I244" s="21" t="s">
        <v>1321</v>
      </c>
      <c r="J244" s="21" t="s">
        <v>117</v>
      </c>
      <c r="K244" s="21" t="s">
        <v>1322</v>
      </c>
      <c r="L244" s="22"/>
      <c r="M244" s="23" t="s">
        <v>39</v>
      </c>
      <c r="N244" s="22"/>
      <c r="O244" s="24"/>
      <c r="P244" s="22"/>
      <c r="Q244" s="22"/>
    </row>
    <row r="245" customFormat="false" ht="33.75" hidden="false" customHeight="true" outlineLevel="0" collapsed="false">
      <c r="A245" s="20" t="s">
        <v>1323</v>
      </c>
      <c r="B245" s="21" t="s">
        <v>57</v>
      </c>
      <c r="C245" s="21" t="s">
        <v>1324</v>
      </c>
      <c r="D245" s="21" t="s">
        <v>1325</v>
      </c>
      <c r="E245" s="21" t="s">
        <v>877</v>
      </c>
      <c r="F245" s="20" t="s">
        <v>79</v>
      </c>
      <c r="G245" s="20" t="s">
        <v>106</v>
      </c>
      <c r="H245" s="21" t="s">
        <v>1326</v>
      </c>
      <c r="I245" s="21" t="s">
        <v>1327</v>
      </c>
      <c r="J245" s="21" t="s">
        <v>117</v>
      </c>
      <c r="K245" s="21" t="s">
        <v>1328</v>
      </c>
      <c r="L245" s="22"/>
      <c r="M245" s="23" t="s">
        <v>39</v>
      </c>
      <c r="N245" s="22"/>
      <c r="O245" s="24"/>
      <c r="P245" s="22"/>
      <c r="Q245" s="22"/>
    </row>
    <row r="246" customFormat="false" ht="33.75" hidden="false" customHeight="true" outlineLevel="0" collapsed="false">
      <c r="A246" s="20" t="s">
        <v>1329</v>
      </c>
      <c r="B246" s="21" t="s">
        <v>57</v>
      </c>
      <c r="C246" s="21" t="s">
        <v>1324</v>
      </c>
      <c r="D246" s="21" t="s">
        <v>1330</v>
      </c>
      <c r="E246" s="21" t="s">
        <v>877</v>
      </c>
      <c r="F246" s="20" t="s">
        <v>81</v>
      </c>
      <c r="G246" s="20" t="s">
        <v>136</v>
      </c>
      <c r="H246" s="21" t="s">
        <v>1331</v>
      </c>
      <c r="I246" s="21" t="s">
        <v>1332</v>
      </c>
      <c r="J246" s="21" t="s">
        <v>117</v>
      </c>
      <c r="K246" s="21" t="s">
        <v>1333</v>
      </c>
      <c r="L246" s="22"/>
      <c r="M246" s="23" t="s">
        <v>39</v>
      </c>
      <c r="N246" s="22"/>
      <c r="O246" s="24"/>
      <c r="P246" s="22"/>
      <c r="Q246" s="22"/>
    </row>
    <row r="247" customFormat="false" ht="33.75" hidden="false" customHeight="true" outlineLevel="0" collapsed="false">
      <c r="A247" s="20" t="s">
        <v>1334</v>
      </c>
      <c r="B247" s="21" t="s">
        <v>57</v>
      </c>
      <c r="C247" s="21" t="s">
        <v>1324</v>
      </c>
      <c r="D247" s="21" t="s">
        <v>1335</v>
      </c>
      <c r="E247" s="21" t="s">
        <v>877</v>
      </c>
      <c r="F247" s="20" t="s">
        <v>81</v>
      </c>
      <c r="G247" s="20" t="s">
        <v>136</v>
      </c>
      <c r="H247" s="21" t="s">
        <v>1336</v>
      </c>
      <c r="I247" s="21" t="s">
        <v>1337</v>
      </c>
      <c r="J247" s="21" t="s">
        <v>117</v>
      </c>
      <c r="K247" s="21" t="s">
        <v>1338</v>
      </c>
      <c r="L247" s="22"/>
      <c r="M247" s="23" t="s">
        <v>39</v>
      </c>
      <c r="N247" s="22"/>
      <c r="O247" s="24"/>
      <c r="P247" s="22"/>
      <c r="Q247" s="22"/>
    </row>
    <row r="248" customFormat="false" ht="48" hidden="false" customHeight="true" outlineLevel="0" collapsed="false">
      <c r="A248" s="20" t="s">
        <v>1339</v>
      </c>
      <c r="B248" s="21" t="s">
        <v>57</v>
      </c>
      <c r="C248" s="21" t="s">
        <v>1340</v>
      </c>
      <c r="D248" s="21" t="s">
        <v>1341</v>
      </c>
      <c r="E248" s="21" t="s">
        <v>877</v>
      </c>
      <c r="F248" s="20" t="s">
        <v>79</v>
      </c>
      <c r="G248" s="20" t="s">
        <v>106</v>
      </c>
      <c r="H248" s="21" t="s">
        <v>1342</v>
      </c>
      <c r="I248" s="21" t="s">
        <v>1343</v>
      </c>
      <c r="J248" s="21" t="s">
        <v>1344</v>
      </c>
      <c r="K248" s="21" t="s">
        <v>1345</v>
      </c>
      <c r="L248" s="22"/>
      <c r="M248" s="23" t="s">
        <v>39</v>
      </c>
      <c r="N248" s="22"/>
      <c r="O248" s="24"/>
      <c r="P248" s="22"/>
      <c r="Q248" s="22"/>
    </row>
    <row r="249" customFormat="false" ht="33.75" hidden="false" customHeight="true" outlineLevel="0" collapsed="false">
      <c r="A249" s="20" t="s">
        <v>1346</v>
      </c>
      <c r="B249" s="21" t="s">
        <v>57</v>
      </c>
      <c r="C249" s="21" t="s">
        <v>1340</v>
      </c>
      <c r="D249" s="21" t="s">
        <v>1347</v>
      </c>
      <c r="E249" s="21" t="s">
        <v>877</v>
      </c>
      <c r="F249" s="20" t="s">
        <v>80</v>
      </c>
      <c r="G249" s="20" t="s">
        <v>114</v>
      </c>
      <c r="H249" s="21" t="s">
        <v>1348</v>
      </c>
      <c r="I249" s="21" t="s">
        <v>1349</v>
      </c>
      <c r="J249" s="21" t="s">
        <v>117</v>
      </c>
      <c r="K249" s="21" t="s">
        <v>1350</v>
      </c>
      <c r="L249" s="22"/>
      <c r="M249" s="23" t="s">
        <v>39</v>
      </c>
      <c r="N249" s="22"/>
      <c r="O249" s="24"/>
      <c r="P249" s="22"/>
      <c r="Q249" s="22"/>
    </row>
    <row r="250" customFormat="false" ht="33.75" hidden="false" customHeight="true" outlineLevel="0" collapsed="false">
      <c r="A250" s="20" t="s">
        <v>1351</v>
      </c>
      <c r="B250" s="21" t="s">
        <v>57</v>
      </c>
      <c r="C250" s="21" t="s">
        <v>1340</v>
      </c>
      <c r="D250" s="21" t="s">
        <v>1352</v>
      </c>
      <c r="E250" s="21" t="s">
        <v>1253</v>
      </c>
      <c r="F250" s="20" t="s">
        <v>80</v>
      </c>
      <c r="G250" s="20" t="s">
        <v>106</v>
      </c>
      <c r="H250" s="21" t="s">
        <v>1353</v>
      </c>
      <c r="I250" s="21" t="s">
        <v>1354</v>
      </c>
      <c r="J250" s="21" t="s">
        <v>117</v>
      </c>
      <c r="K250" s="21" t="s">
        <v>1355</v>
      </c>
      <c r="L250" s="22"/>
      <c r="M250" s="23" t="s">
        <v>39</v>
      </c>
      <c r="N250" s="22"/>
      <c r="O250" s="24"/>
      <c r="P250" s="22"/>
      <c r="Q250" s="22"/>
    </row>
    <row r="251" customFormat="false" ht="33.75" hidden="false" customHeight="true" outlineLevel="0" collapsed="false">
      <c r="A251" s="20" t="s">
        <v>1356</v>
      </c>
      <c r="B251" s="21" t="s">
        <v>57</v>
      </c>
      <c r="C251" s="21" t="s">
        <v>1357</v>
      </c>
      <c r="D251" s="21" t="s">
        <v>1358</v>
      </c>
      <c r="E251" s="21" t="s">
        <v>877</v>
      </c>
      <c r="F251" s="20" t="s">
        <v>79</v>
      </c>
      <c r="G251" s="20" t="s">
        <v>121</v>
      </c>
      <c r="H251" s="21" t="s">
        <v>1359</v>
      </c>
      <c r="I251" s="21" t="s">
        <v>1360</v>
      </c>
      <c r="J251" s="21" t="s">
        <v>117</v>
      </c>
      <c r="K251" s="21" t="s">
        <v>1361</v>
      </c>
      <c r="L251" s="22"/>
      <c r="M251" s="23" t="s">
        <v>39</v>
      </c>
      <c r="N251" s="22"/>
      <c r="O251" s="24"/>
      <c r="P251" s="22"/>
      <c r="Q251" s="22"/>
    </row>
    <row r="252" customFormat="false" ht="33.75" hidden="false" customHeight="true" outlineLevel="0" collapsed="false">
      <c r="A252" s="20" t="s">
        <v>1362</v>
      </c>
      <c r="B252" s="21" t="s">
        <v>57</v>
      </c>
      <c r="C252" s="21" t="s">
        <v>1357</v>
      </c>
      <c r="D252" s="21" t="s">
        <v>1363</v>
      </c>
      <c r="E252" s="21" t="s">
        <v>877</v>
      </c>
      <c r="F252" s="20" t="s">
        <v>79</v>
      </c>
      <c r="G252" s="20" t="s">
        <v>121</v>
      </c>
      <c r="H252" s="21" t="s">
        <v>1364</v>
      </c>
      <c r="I252" s="21" t="s">
        <v>1365</v>
      </c>
      <c r="J252" s="21" t="s">
        <v>117</v>
      </c>
      <c r="K252" s="21" t="s">
        <v>1366</v>
      </c>
      <c r="L252" s="22"/>
      <c r="M252" s="23" t="s">
        <v>39</v>
      </c>
      <c r="N252" s="22"/>
      <c r="O252" s="24"/>
      <c r="P252" s="22"/>
      <c r="Q252" s="22"/>
    </row>
    <row r="253" customFormat="false" ht="33.75" hidden="false" customHeight="true" outlineLevel="0" collapsed="false">
      <c r="A253" s="20" t="s">
        <v>1367</v>
      </c>
      <c r="B253" s="21" t="s">
        <v>58</v>
      </c>
      <c r="C253" s="21" t="s">
        <v>1368</v>
      </c>
      <c r="D253" s="21" t="s">
        <v>1369</v>
      </c>
      <c r="E253" s="21" t="s">
        <v>190</v>
      </c>
      <c r="F253" s="20" t="s">
        <v>79</v>
      </c>
      <c r="G253" s="20" t="s">
        <v>106</v>
      </c>
      <c r="H253" s="21" t="s">
        <v>1370</v>
      </c>
      <c r="I253" s="21" t="s">
        <v>1371</v>
      </c>
      <c r="J253" s="21" t="s">
        <v>1372</v>
      </c>
      <c r="K253" s="21" t="s">
        <v>1373</v>
      </c>
      <c r="L253" s="22"/>
      <c r="M253" s="23" t="s">
        <v>39</v>
      </c>
      <c r="N253" s="22"/>
      <c r="O253" s="24"/>
      <c r="P253" s="22"/>
      <c r="Q253" s="22"/>
    </row>
    <row r="254" customFormat="false" ht="33.75" hidden="false" customHeight="true" outlineLevel="0" collapsed="false">
      <c r="A254" s="20" t="s">
        <v>1374</v>
      </c>
      <c r="B254" s="21" t="s">
        <v>58</v>
      </c>
      <c r="C254" s="21" t="s">
        <v>1368</v>
      </c>
      <c r="D254" s="21" t="s">
        <v>1375</v>
      </c>
      <c r="E254" s="21" t="s">
        <v>190</v>
      </c>
      <c r="F254" s="20" t="s">
        <v>80</v>
      </c>
      <c r="G254" s="20" t="s">
        <v>136</v>
      </c>
      <c r="H254" s="21" t="s">
        <v>1176</v>
      </c>
      <c r="I254" s="21" t="s">
        <v>1376</v>
      </c>
      <c r="J254" s="21" t="s">
        <v>117</v>
      </c>
      <c r="K254" s="21" t="s">
        <v>1377</v>
      </c>
      <c r="L254" s="22"/>
      <c r="M254" s="23" t="s">
        <v>39</v>
      </c>
      <c r="N254" s="22"/>
      <c r="O254" s="24"/>
      <c r="P254" s="22"/>
      <c r="Q254" s="22"/>
    </row>
    <row r="255" customFormat="false" ht="33.75" hidden="false" customHeight="true" outlineLevel="0" collapsed="false">
      <c r="A255" s="20" t="s">
        <v>1378</v>
      </c>
      <c r="B255" s="21" t="s">
        <v>58</v>
      </c>
      <c r="C255" s="21" t="s">
        <v>1368</v>
      </c>
      <c r="D255" s="21" t="s">
        <v>1379</v>
      </c>
      <c r="E255" s="21" t="s">
        <v>190</v>
      </c>
      <c r="F255" s="20" t="s">
        <v>80</v>
      </c>
      <c r="G255" s="20" t="s">
        <v>136</v>
      </c>
      <c r="H255" s="21" t="s">
        <v>1176</v>
      </c>
      <c r="I255" s="21" t="s">
        <v>1380</v>
      </c>
      <c r="J255" s="21" t="s">
        <v>117</v>
      </c>
      <c r="K255" s="21" t="s">
        <v>1381</v>
      </c>
      <c r="L255" s="22"/>
      <c r="M255" s="23" t="s">
        <v>39</v>
      </c>
      <c r="N255" s="22"/>
      <c r="O255" s="24"/>
      <c r="P255" s="22"/>
      <c r="Q255" s="22"/>
    </row>
    <row r="256" customFormat="false" ht="33.75" hidden="false" customHeight="true" outlineLevel="0" collapsed="false">
      <c r="A256" s="20" t="s">
        <v>1382</v>
      </c>
      <c r="B256" s="21" t="s">
        <v>58</v>
      </c>
      <c r="C256" s="21" t="s">
        <v>1368</v>
      </c>
      <c r="D256" s="21" t="s">
        <v>1383</v>
      </c>
      <c r="E256" s="21" t="s">
        <v>190</v>
      </c>
      <c r="F256" s="20" t="s">
        <v>81</v>
      </c>
      <c r="G256" s="20" t="s">
        <v>136</v>
      </c>
      <c r="H256" s="21" t="s">
        <v>1171</v>
      </c>
      <c r="I256" s="21" t="s">
        <v>1384</v>
      </c>
      <c r="J256" s="21" t="s">
        <v>117</v>
      </c>
      <c r="K256" s="21" t="s">
        <v>1385</v>
      </c>
      <c r="L256" s="22"/>
      <c r="M256" s="23" t="s">
        <v>39</v>
      </c>
      <c r="N256" s="22"/>
      <c r="O256" s="24"/>
      <c r="P256" s="22"/>
      <c r="Q256" s="22"/>
    </row>
    <row r="257" customFormat="false" ht="33.75" hidden="false" customHeight="true" outlineLevel="0" collapsed="false">
      <c r="A257" s="20" t="s">
        <v>1386</v>
      </c>
      <c r="B257" s="21" t="s">
        <v>58</v>
      </c>
      <c r="C257" s="21" t="s">
        <v>247</v>
      </c>
      <c r="D257" s="21" t="s">
        <v>1387</v>
      </c>
      <c r="E257" s="21" t="s">
        <v>178</v>
      </c>
      <c r="F257" s="20" t="s">
        <v>79</v>
      </c>
      <c r="G257" s="20" t="s">
        <v>106</v>
      </c>
      <c r="H257" s="21" t="s">
        <v>1388</v>
      </c>
      <c r="I257" s="21" t="s">
        <v>1389</v>
      </c>
      <c r="J257" s="21" t="s">
        <v>117</v>
      </c>
      <c r="K257" s="21" t="s">
        <v>1390</v>
      </c>
      <c r="L257" s="22"/>
      <c r="M257" s="23" t="s">
        <v>39</v>
      </c>
      <c r="N257" s="22"/>
      <c r="O257" s="24"/>
      <c r="P257" s="22"/>
      <c r="Q257" s="22"/>
    </row>
    <row r="258" customFormat="false" ht="33.75" hidden="false" customHeight="true" outlineLevel="0" collapsed="false">
      <c r="A258" s="20" t="s">
        <v>1391</v>
      </c>
      <c r="B258" s="21" t="s">
        <v>58</v>
      </c>
      <c r="C258" s="21" t="s">
        <v>247</v>
      </c>
      <c r="D258" s="21" t="s">
        <v>1392</v>
      </c>
      <c r="E258" s="21" t="s">
        <v>178</v>
      </c>
      <c r="F258" s="20" t="s">
        <v>80</v>
      </c>
      <c r="G258" s="20" t="s">
        <v>136</v>
      </c>
      <c r="H258" s="21" t="s">
        <v>1393</v>
      </c>
      <c r="I258" s="21" t="s">
        <v>1394</v>
      </c>
      <c r="J258" s="21" t="s">
        <v>117</v>
      </c>
      <c r="K258" s="21" t="s">
        <v>1395</v>
      </c>
      <c r="L258" s="22"/>
      <c r="M258" s="23" t="s">
        <v>39</v>
      </c>
      <c r="N258" s="22"/>
      <c r="O258" s="24"/>
      <c r="P258" s="22"/>
      <c r="Q258" s="22"/>
    </row>
    <row r="259" customFormat="false" ht="33.75" hidden="false" customHeight="true" outlineLevel="0" collapsed="false">
      <c r="A259" s="20" t="s">
        <v>1396</v>
      </c>
      <c r="B259" s="21" t="s">
        <v>58</v>
      </c>
      <c r="C259" s="21" t="s">
        <v>247</v>
      </c>
      <c r="D259" s="21" t="s">
        <v>1397</v>
      </c>
      <c r="E259" s="21" t="s">
        <v>178</v>
      </c>
      <c r="F259" s="20" t="s">
        <v>79</v>
      </c>
      <c r="G259" s="20" t="s">
        <v>106</v>
      </c>
      <c r="H259" s="21" t="s">
        <v>1388</v>
      </c>
      <c r="I259" s="21" t="s">
        <v>1398</v>
      </c>
      <c r="J259" s="21" t="s">
        <v>117</v>
      </c>
      <c r="K259" s="21" t="s">
        <v>1399</v>
      </c>
      <c r="L259" s="22"/>
      <c r="M259" s="23" t="s">
        <v>39</v>
      </c>
      <c r="N259" s="22"/>
      <c r="O259" s="24"/>
      <c r="P259" s="22"/>
      <c r="Q259" s="22"/>
    </row>
    <row r="260" customFormat="false" ht="33.75" hidden="false" customHeight="true" outlineLevel="0" collapsed="false">
      <c r="A260" s="20" t="s">
        <v>1400</v>
      </c>
      <c r="B260" s="21" t="s">
        <v>58</v>
      </c>
      <c r="C260" s="21" t="s">
        <v>247</v>
      </c>
      <c r="D260" s="21" t="s">
        <v>1401</v>
      </c>
      <c r="E260" s="21" t="s">
        <v>178</v>
      </c>
      <c r="F260" s="20" t="s">
        <v>81</v>
      </c>
      <c r="G260" s="20" t="s">
        <v>106</v>
      </c>
      <c r="H260" s="21" t="s">
        <v>1402</v>
      </c>
      <c r="I260" s="21" t="s">
        <v>1403</v>
      </c>
      <c r="J260" s="21" t="s">
        <v>117</v>
      </c>
      <c r="K260" s="21" t="s">
        <v>1404</v>
      </c>
      <c r="L260" s="22"/>
      <c r="M260" s="23" t="s">
        <v>39</v>
      </c>
      <c r="N260" s="22"/>
      <c r="O260" s="24"/>
      <c r="P260" s="22"/>
      <c r="Q260" s="22"/>
    </row>
    <row r="261" customFormat="false" ht="33.75" hidden="false" customHeight="true" outlineLevel="0" collapsed="false">
      <c r="A261" s="20" t="s">
        <v>1405</v>
      </c>
      <c r="B261" s="21" t="s">
        <v>59</v>
      </c>
      <c r="C261" s="21" t="s">
        <v>1406</v>
      </c>
      <c r="D261" s="21" t="s">
        <v>1407</v>
      </c>
      <c r="E261" s="21" t="s">
        <v>178</v>
      </c>
      <c r="F261" s="20" t="s">
        <v>79</v>
      </c>
      <c r="G261" s="20" t="s">
        <v>106</v>
      </c>
      <c r="H261" s="21" t="s">
        <v>1408</v>
      </c>
      <c r="I261" s="21" t="s">
        <v>1409</v>
      </c>
      <c r="J261" s="21" t="s">
        <v>117</v>
      </c>
      <c r="K261" s="21" t="s">
        <v>1410</v>
      </c>
      <c r="L261" s="22"/>
      <c r="M261" s="23" t="s">
        <v>39</v>
      </c>
      <c r="N261" s="22"/>
      <c r="O261" s="24"/>
      <c r="P261" s="22"/>
      <c r="Q261" s="22"/>
    </row>
    <row r="262" customFormat="false" ht="48" hidden="false" customHeight="true" outlineLevel="0" collapsed="false">
      <c r="A262" s="20" t="s">
        <v>1411</v>
      </c>
      <c r="B262" s="21" t="s">
        <v>59</v>
      </c>
      <c r="C262" s="21" t="s">
        <v>1406</v>
      </c>
      <c r="D262" s="21" t="s">
        <v>1412</v>
      </c>
      <c r="E262" s="21" t="s">
        <v>178</v>
      </c>
      <c r="F262" s="20" t="s">
        <v>80</v>
      </c>
      <c r="G262" s="20" t="s">
        <v>136</v>
      </c>
      <c r="H262" s="21" t="s">
        <v>1413</v>
      </c>
      <c r="I262" s="21" t="s">
        <v>1414</v>
      </c>
      <c r="J262" s="21" t="s">
        <v>117</v>
      </c>
      <c r="K262" s="21" t="s">
        <v>1415</v>
      </c>
      <c r="L262" s="22"/>
      <c r="M262" s="23" t="s">
        <v>39</v>
      </c>
      <c r="N262" s="22"/>
      <c r="O262" s="24"/>
      <c r="P262" s="22"/>
      <c r="Q262" s="22"/>
    </row>
    <row r="263" customFormat="false" ht="48" hidden="false" customHeight="true" outlineLevel="0" collapsed="false">
      <c r="A263" s="20" t="s">
        <v>1416</v>
      </c>
      <c r="B263" s="21" t="s">
        <v>59</v>
      </c>
      <c r="C263" s="21" t="s">
        <v>1406</v>
      </c>
      <c r="D263" s="21" t="s">
        <v>1417</v>
      </c>
      <c r="E263" s="21" t="s">
        <v>178</v>
      </c>
      <c r="F263" s="20" t="s">
        <v>80</v>
      </c>
      <c r="G263" s="20" t="s">
        <v>136</v>
      </c>
      <c r="H263" s="21" t="s">
        <v>1418</v>
      </c>
      <c r="I263" s="21" t="s">
        <v>1419</v>
      </c>
      <c r="J263" s="21" t="s">
        <v>117</v>
      </c>
      <c r="K263" s="21" t="s">
        <v>1420</v>
      </c>
      <c r="L263" s="22"/>
      <c r="M263" s="23" t="s">
        <v>39</v>
      </c>
      <c r="N263" s="22"/>
      <c r="O263" s="24"/>
      <c r="P263" s="22"/>
      <c r="Q263" s="22"/>
    </row>
    <row r="264" customFormat="false" ht="33.75" hidden="false" customHeight="true" outlineLevel="0" collapsed="false">
      <c r="A264" s="20" t="s">
        <v>1421</v>
      </c>
      <c r="B264" s="21" t="s">
        <v>59</v>
      </c>
      <c r="C264" s="21" t="s">
        <v>1406</v>
      </c>
      <c r="D264" s="21" t="s">
        <v>1422</v>
      </c>
      <c r="E264" s="21" t="s">
        <v>190</v>
      </c>
      <c r="F264" s="20" t="s">
        <v>79</v>
      </c>
      <c r="G264" s="20" t="s">
        <v>106</v>
      </c>
      <c r="H264" s="21" t="s">
        <v>1423</v>
      </c>
      <c r="I264" s="21" t="s">
        <v>1424</v>
      </c>
      <c r="J264" s="21" t="s">
        <v>117</v>
      </c>
      <c r="K264" s="21" t="s">
        <v>1425</v>
      </c>
      <c r="L264" s="22"/>
      <c r="M264" s="23" t="s">
        <v>39</v>
      </c>
      <c r="N264" s="22"/>
      <c r="O264" s="24"/>
      <c r="P264" s="22"/>
      <c r="Q264" s="22"/>
    </row>
    <row r="265" customFormat="false" ht="33.75" hidden="false" customHeight="true" outlineLevel="0" collapsed="false">
      <c r="A265" s="20" t="s">
        <v>1426</v>
      </c>
      <c r="B265" s="21" t="s">
        <v>59</v>
      </c>
      <c r="C265" s="21" t="s">
        <v>1406</v>
      </c>
      <c r="D265" s="21" t="s">
        <v>1427</v>
      </c>
      <c r="E265" s="21" t="s">
        <v>190</v>
      </c>
      <c r="F265" s="20" t="s">
        <v>81</v>
      </c>
      <c r="G265" s="20" t="s">
        <v>136</v>
      </c>
      <c r="H265" s="21" t="s">
        <v>1428</v>
      </c>
      <c r="I265" s="21" t="s">
        <v>1429</v>
      </c>
      <c r="J265" s="21" t="s">
        <v>117</v>
      </c>
      <c r="K265" s="21" t="s">
        <v>1430</v>
      </c>
      <c r="L265" s="22"/>
      <c r="M265" s="23" t="s">
        <v>39</v>
      </c>
      <c r="N265" s="22"/>
      <c r="O265" s="24"/>
      <c r="P265" s="22"/>
      <c r="Q265" s="22"/>
    </row>
    <row r="266" customFormat="false" ht="33.75" hidden="false" customHeight="true" outlineLevel="0" collapsed="false">
      <c r="A266" s="20" t="s">
        <v>1431</v>
      </c>
      <c r="B266" s="21" t="s">
        <v>59</v>
      </c>
      <c r="C266" s="21" t="s">
        <v>1406</v>
      </c>
      <c r="D266" s="21" t="s">
        <v>1432</v>
      </c>
      <c r="E266" s="21" t="s">
        <v>190</v>
      </c>
      <c r="F266" s="20" t="s">
        <v>81</v>
      </c>
      <c r="G266" s="20" t="s">
        <v>114</v>
      </c>
      <c r="H266" s="21" t="s">
        <v>1423</v>
      </c>
      <c r="I266" s="21" t="s">
        <v>1433</v>
      </c>
      <c r="J266" s="21" t="s">
        <v>117</v>
      </c>
      <c r="K266" s="21" t="s">
        <v>1434</v>
      </c>
      <c r="L266" s="22"/>
      <c r="M266" s="23" t="s">
        <v>39</v>
      </c>
      <c r="N266" s="22"/>
      <c r="O266" s="24"/>
      <c r="P266" s="22"/>
      <c r="Q266" s="22"/>
    </row>
    <row r="267" customFormat="false" ht="33.75" hidden="false" customHeight="true" outlineLevel="0" collapsed="false">
      <c r="A267" s="20" t="s">
        <v>1435</v>
      </c>
      <c r="B267" s="21" t="s">
        <v>59</v>
      </c>
      <c r="C267" s="21" t="s">
        <v>1436</v>
      </c>
      <c r="D267" s="21" t="s">
        <v>1437</v>
      </c>
      <c r="E267" s="21" t="s">
        <v>1438</v>
      </c>
      <c r="F267" s="20" t="s">
        <v>80</v>
      </c>
      <c r="G267" s="20" t="s">
        <v>106</v>
      </c>
      <c r="H267" s="21" t="s">
        <v>1439</v>
      </c>
      <c r="I267" s="21" t="s">
        <v>1440</v>
      </c>
      <c r="J267" s="21" t="s">
        <v>117</v>
      </c>
      <c r="K267" s="21" t="s">
        <v>1441</v>
      </c>
      <c r="L267" s="22"/>
      <c r="M267" s="23" t="s">
        <v>39</v>
      </c>
      <c r="N267" s="22"/>
      <c r="O267" s="24"/>
      <c r="P267" s="22"/>
      <c r="Q267" s="22"/>
    </row>
    <row r="268" customFormat="false" ht="33.75" hidden="false" customHeight="true" outlineLevel="0" collapsed="false">
      <c r="A268" s="20" t="s">
        <v>1442</v>
      </c>
      <c r="B268" s="21" t="s">
        <v>59</v>
      </c>
      <c r="C268" s="21" t="s">
        <v>1406</v>
      </c>
      <c r="D268" s="21" t="s">
        <v>1443</v>
      </c>
      <c r="E268" s="21" t="s">
        <v>178</v>
      </c>
      <c r="F268" s="20" t="s">
        <v>81</v>
      </c>
      <c r="G268" s="20" t="s">
        <v>106</v>
      </c>
      <c r="H268" s="21" t="s">
        <v>1418</v>
      </c>
      <c r="I268" s="21" t="s">
        <v>1444</v>
      </c>
      <c r="J268" s="21" t="s">
        <v>117</v>
      </c>
      <c r="K268" s="21" t="s">
        <v>1445</v>
      </c>
      <c r="L268" s="22"/>
      <c r="M268" s="23" t="s">
        <v>39</v>
      </c>
      <c r="N268" s="22"/>
      <c r="O268" s="24"/>
      <c r="P268" s="22"/>
      <c r="Q268" s="22"/>
    </row>
    <row r="269" customFormat="false" ht="33.75" hidden="false" customHeight="true" outlineLevel="0" collapsed="false">
      <c r="A269" s="20" t="s">
        <v>1446</v>
      </c>
      <c r="B269" s="21" t="s">
        <v>60</v>
      </c>
      <c r="C269" s="21" t="s">
        <v>1447</v>
      </c>
      <c r="D269" s="21" t="s">
        <v>1448</v>
      </c>
      <c r="E269" s="21" t="s">
        <v>1449</v>
      </c>
      <c r="F269" s="20" t="s">
        <v>80</v>
      </c>
      <c r="G269" s="20" t="s">
        <v>106</v>
      </c>
      <c r="H269" s="21" t="s">
        <v>1450</v>
      </c>
      <c r="I269" s="21" t="s">
        <v>1451</v>
      </c>
      <c r="J269" s="21" t="s">
        <v>117</v>
      </c>
      <c r="K269" s="21" t="s">
        <v>1452</v>
      </c>
      <c r="L269" s="22"/>
      <c r="M269" s="23" t="s">
        <v>39</v>
      </c>
      <c r="N269" s="22"/>
      <c r="O269" s="24"/>
      <c r="P269" s="22"/>
      <c r="Q269" s="22"/>
    </row>
    <row r="270" customFormat="false" ht="48" hidden="false" customHeight="true" outlineLevel="0" collapsed="false">
      <c r="A270" s="20" t="s">
        <v>1453</v>
      </c>
      <c r="B270" s="21" t="s">
        <v>60</v>
      </c>
      <c r="C270" s="21" t="s">
        <v>1447</v>
      </c>
      <c r="D270" s="21" t="s">
        <v>1454</v>
      </c>
      <c r="E270" s="21" t="s">
        <v>1449</v>
      </c>
      <c r="F270" s="20" t="s">
        <v>79</v>
      </c>
      <c r="G270" s="20" t="s">
        <v>106</v>
      </c>
      <c r="H270" s="21" t="s">
        <v>1455</v>
      </c>
      <c r="I270" s="21" t="s">
        <v>1456</v>
      </c>
      <c r="J270" s="21" t="s">
        <v>117</v>
      </c>
      <c r="K270" s="21" t="s">
        <v>1457</v>
      </c>
      <c r="L270" s="22"/>
      <c r="M270" s="23" t="s">
        <v>39</v>
      </c>
      <c r="N270" s="22"/>
      <c r="O270" s="24"/>
      <c r="P270" s="22"/>
      <c r="Q270" s="22"/>
    </row>
    <row r="271" customFormat="false" ht="33.75" hidden="false" customHeight="true" outlineLevel="0" collapsed="false">
      <c r="A271" s="20" t="s">
        <v>1458</v>
      </c>
      <c r="B271" s="21" t="s">
        <v>60</v>
      </c>
      <c r="C271" s="21" t="s">
        <v>1447</v>
      </c>
      <c r="D271" s="21" t="s">
        <v>1459</v>
      </c>
      <c r="E271" s="21" t="s">
        <v>178</v>
      </c>
      <c r="F271" s="20" t="s">
        <v>79</v>
      </c>
      <c r="G271" s="20" t="s">
        <v>106</v>
      </c>
      <c r="H271" s="21" t="s">
        <v>1460</v>
      </c>
      <c r="I271" s="21" t="s">
        <v>1461</v>
      </c>
      <c r="J271" s="21" t="s">
        <v>117</v>
      </c>
      <c r="K271" s="21" t="s">
        <v>1462</v>
      </c>
      <c r="L271" s="22"/>
      <c r="M271" s="23" t="s">
        <v>39</v>
      </c>
      <c r="N271" s="22"/>
      <c r="O271" s="24"/>
      <c r="P271" s="22"/>
      <c r="Q271" s="22"/>
    </row>
    <row r="272" customFormat="false" ht="33.75" hidden="false" customHeight="true" outlineLevel="0" collapsed="false">
      <c r="A272" s="20" t="s">
        <v>1463</v>
      </c>
      <c r="B272" s="21" t="s">
        <v>60</v>
      </c>
      <c r="C272" s="21" t="s">
        <v>1447</v>
      </c>
      <c r="D272" s="21" t="s">
        <v>1464</v>
      </c>
      <c r="E272" s="21" t="s">
        <v>178</v>
      </c>
      <c r="F272" s="20" t="s">
        <v>81</v>
      </c>
      <c r="G272" s="20" t="s">
        <v>136</v>
      </c>
      <c r="H272" s="21" t="s">
        <v>1465</v>
      </c>
      <c r="I272" s="21" t="s">
        <v>1466</v>
      </c>
      <c r="J272" s="21" t="s">
        <v>117</v>
      </c>
      <c r="K272" s="21" t="s">
        <v>1467</v>
      </c>
      <c r="L272" s="22"/>
      <c r="M272" s="23" t="s">
        <v>39</v>
      </c>
      <c r="N272" s="22"/>
      <c r="O272" s="24"/>
      <c r="P272" s="22"/>
      <c r="Q272" s="22"/>
    </row>
    <row r="273" customFormat="false" ht="33.75" hidden="false" customHeight="true" outlineLevel="0" collapsed="false">
      <c r="A273" s="20" t="s">
        <v>1468</v>
      </c>
      <c r="B273" s="21" t="s">
        <v>60</v>
      </c>
      <c r="C273" s="21" t="s">
        <v>1447</v>
      </c>
      <c r="D273" s="21" t="s">
        <v>1469</v>
      </c>
      <c r="E273" s="21" t="s">
        <v>877</v>
      </c>
      <c r="F273" s="20" t="s">
        <v>81</v>
      </c>
      <c r="G273" s="20" t="s">
        <v>121</v>
      </c>
      <c r="H273" s="21" t="s">
        <v>117</v>
      </c>
      <c r="I273" s="21" t="s">
        <v>1470</v>
      </c>
      <c r="J273" s="21" t="s">
        <v>117</v>
      </c>
      <c r="K273" s="21" t="s">
        <v>1471</v>
      </c>
      <c r="L273" s="22"/>
      <c r="M273" s="23" t="s">
        <v>39</v>
      </c>
      <c r="N273" s="22"/>
      <c r="O273" s="24"/>
      <c r="P273" s="22"/>
      <c r="Q273" s="22"/>
    </row>
    <row r="274" customFormat="false" ht="33.75" hidden="false" customHeight="true" outlineLevel="0" collapsed="false">
      <c r="A274" s="20" t="s">
        <v>1472</v>
      </c>
      <c r="B274" s="21" t="s">
        <v>60</v>
      </c>
      <c r="C274" s="21" t="s">
        <v>1473</v>
      </c>
      <c r="D274" s="21" t="s">
        <v>1474</v>
      </c>
      <c r="E274" s="21" t="s">
        <v>877</v>
      </c>
      <c r="F274" s="20" t="s">
        <v>80</v>
      </c>
      <c r="G274" s="20" t="s">
        <v>106</v>
      </c>
      <c r="H274" s="21" t="s">
        <v>1450</v>
      </c>
      <c r="I274" s="21" t="s">
        <v>1475</v>
      </c>
      <c r="J274" s="21" t="s">
        <v>117</v>
      </c>
      <c r="K274" s="21" t="s">
        <v>1476</v>
      </c>
      <c r="L274" s="22"/>
      <c r="M274" s="23" t="s">
        <v>39</v>
      </c>
      <c r="N274" s="22"/>
      <c r="O274" s="24"/>
      <c r="P274" s="22"/>
      <c r="Q274" s="22"/>
    </row>
    <row r="275" customFormat="false" ht="33.75" hidden="false" customHeight="true" outlineLevel="0" collapsed="false">
      <c r="A275" s="20" t="s">
        <v>1477</v>
      </c>
      <c r="B275" s="21" t="s">
        <v>60</v>
      </c>
      <c r="C275" s="21" t="s">
        <v>1473</v>
      </c>
      <c r="D275" s="21" t="s">
        <v>1478</v>
      </c>
      <c r="E275" s="21" t="s">
        <v>877</v>
      </c>
      <c r="F275" s="20" t="s">
        <v>81</v>
      </c>
      <c r="G275" s="20" t="s">
        <v>114</v>
      </c>
      <c r="H275" s="21" t="s">
        <v>117</v>
      </c>
      <c r="I275" s="21" t="s">
        <v>1479</v>
      </c>
      <c r="J275" s="21" t="s">
        <v>117</v>
      </c>
      <c r="K275" s="21" t="s">
        <v>1480</v>
      </c>
      <c r="L275" s="22"/>
      <c r="M275" s="23" t="s">
        <v>39</v>
      </c>
      <c r="N275" s="22"/>
      <c r="O275" s="24"/>
      <c r="P275" s="22"/>
      <c r="Q275" s="22"/>
    </row>
    <row r="276" customFormat="false" ht="33.75" hidden="false" customHeight="true" outlineLevel="0" collapsed="false">
      <c r="A276" s="20" t="s">
        <v>1481</v>
      </c>
      <c r="B276" s="21" t="s">
        <v>60</v>
      </c>
      <c r="C276" s="21" t="s">
        <v>1482</v>
      </c>
      <c r="D276" s="21" t="s">
        <v>1483</v>
      </c>
      <c r="E276" s="21" t="s">
        <v>877</v>
      </c>
      <c r="F276" s="20" t="s">
        <v>81</v>
      </c>
      <c r="G276" s="20" t="s">
        <v>136</v>
      </c>
      <c r="H276" s="21" t="s">
        <v>1484</v>
      </c>
      <c r="I276" s="21" t="s">
        <v>1485</v>
      </c>
      <c r="J276" s="21" t="s">
        <v>117</v>
      </c>
      <c r="K276" s="21" t="s">
        <v>1486</v>
      </c>
      <c r="L276" s="22"/>
      <c r="M276" s="23" t="s">
        <v>39</v>
      </c>
      <c r="N276" s="22"/>
      <c r="O276" s="24"/>
      <c r="P276" s="22"/>
      <c r="Q276" s="22"/>
    </row>
    <row r="277" customFormat="false" ht="33.75" hidden="false" customHeight="true" outlineLevel="0" collapsed="false">
      <c r="A277" s="20" t="s">
        <v>1487</v>
      </c>
      <c r="B277" s="21" t="s">
        <v>60</v>
      </c>
      <c r="C277" s="21" t="s">
        <v>1482</v>
      </c>
      <c r="D277" s="21" t="s">
        <v>1488</v>
      </c>
      <c r="E277" s="21" t="s">
        <v>877</v>
      </c>
      <c r="F277" s="20" t="s">
        <v>81</v>
      </c>
      <c r="G277" s="20" t="s">
        <v>106</v>
      </c>
      <c r="H277" s="21" t="s">
        <v>117</v>
      </c>
      <c r="I277" s="21" t="s">
        <v>1489</v>
      </c>
      <c r="J277" s="21" t="s">
        <v>117</v>
      </c>
      <c r="K277" s="21" t="s">
        <v>1490</v>
      </c>
      <c r="L277" s="22"/>
      <c r="M277" s="23" t="s">
        <v>39</v>
      </c>
      <c r="N277" s="22"/>
      <c r="O277" s="24"/>
      <c r="P277" s="22"/>
      <c r="Q277" s="22"/>
    </row>
    <row r="278" customFormat="false" ht="33.75" hidden="false" customHeight="true" outlineLevel="0" collapsed="false">
      <c r="A278" s="20" t="s">
        <v>1491</v>
      </c>
      <c r="B278" s="21" t="s">
        <v>60</v>
      </c>
      <c r="C278" s="21" t="s">
        <v>1492</v>
      </c>
      <c r="D278" s="21" t="s">
        <v>1493</v>
      </c>
      <c r="E278" s="21" t="s">
        <v>1449</v>
      </c>
      <c r="F278" s="20" t="s">
        <v>81</v>
      </c>
      <c r="G278" s="20" t="s">
        <v>106</v>
      </c>
      <c r="H278" s="21" t="s">
        <v>1450</v>
      </c>
      <c r="I278" s="21" t="s">
        <v>1494</v>
      </c>
      <c r="J278" s="21" t="s">
        <v>117</v>
      </c>
      <c r="K278" s="21" t="s">
        <v>1495</v>
      </c>
      <c r="L278" s="22"/>
      <c r="M278" s="23" t="s">
        <v>39</v>
      </c>
      <c r="N278" s="22"/>
      <c r="O278" s="24"/>
      <c r="P278" s="22"/>
      <c r="Q278" s="22"/>
    </row>
    <row r="279" customFormat="false" ht="103.5" hidden="false" customHeight="true" outlineLevel="0" collapsed="false">
      <c r="A279" s="20" t="s">
        <v>1496</v>
      </c>
      <c r="B279" s="21" t="s">
        <v>61</v>
      </c>
      <c r="C279" s="21" t="s">
        <v>1406</v>
      </c>
      <c r="D279" s="21" t="s">
        <v>1497</v>
      </c>
      <c r="E279" s="21" t="s">
        <v>1498</v>
      </c>
      <c r="F279" s="20" t="s">
        <v>79</v>
      </c>
      <c r="G279" s="20" t="s">
        <v>106</v>
      </c>
      <c r="H279" s="21" t="s">
        <v>1499</v>
      </c>
      <c r="I279" s="21" t="s">
        <v>1500</v>
      </c>
      <c r="J279" s="21" t="s">
        <v>117</v>
      </c>
      <c r="K279" s="21" t="s">
        <v>1501</v>
      </c>
      <c r="L279" s="22"/>
      <c r="M279" s="23" t="s">
        <v>39</v>
      </c>
      <c r="N279" s="22"/>
      <c r="O279" s="24"/>
      <c r="P279" s="22"/>
      <c r="Q279" s="22"/>
    </row>
    <row r="280" customFormat="false" ht="33.75" hidden="false" customHeight="true" outlineLevel="0" collapsed="false">
      <c r="A280" s="20" t="s">
        <v>1502</v>
      </c>
      <c r="B280" s="21" t="s">
        <v>61</v>
      </c>
      <c r="C280" s="21" t="s">
        <v>1406</v>
      </c>
      <c r="D280" s="21" t="s">
        <v>1503</v>
      </c>
      <c r="E280" s="21" t="s">
        <v>897</v>
      </c>
      <c r="F280" s="20" t="s">
        <v>80</v>
      </c>
      <c r="G280" s="20" t="s">
        <v>136</v>
      </c>
      <c r="H280" s="21" t="s">
        <v>1504</v>
      </c>
      <c r="I280" s="21" t="s">
        <v>1505</v>
      </c>
      <c r="J280" s="21" t="s">
        <v>117</v>
      </c>
      <c r="K280" s="21" t="s">
        <v>1471</v>
      </c>
      <c r="L280" s="22"/>
      <c r="M280" s="23" t="s">
        <v>39</v>
      </c>
      <c r="N280" s="22"/>
      <c r="O280" s="24"/>
      <c r="P280" s="22"/>
      <c r="Q280" s="22"/>
    </row>
    <row r="281" customFormat="false" ht="33.75" hidden="false" customHeight="true" outlineLevel="0" collapsed="false">
      <c r="A281" s="20" t="s">
        <v>1506</v>
      </c>
      <c r="B281" s="21" t="s">
        <v>61</v>
      </c>
      <c r="C281" s="21" t="s">
        <v>1406</v>
      </c>
      <c r="D281" s="21" t="s">
        <v>1507</v>
      </c>
      <c r="E281" s="21" t="s">
        <v>897</v>
      </c>
      <c r="F281" s="20" t="s">
        <v>81</v>
      </c>
      <c r="G281" s="20" t="s">
        <v>114</v>
      </c>
      <c r="H281" s="21" t="s">
        <v>117</v>
      </c>
      <c r="I281" s="21" t="s">
        <v>1508</v>
      </c>
      <c r="J281" s="21" t="s">
        <v>117</v>
      </c>
      <c r="K281" s="21" t="s">
        <v>1471</v>
      </c>
      <c r="L281" s="22"/>
      <c r="M281" s="23" t="s">
        <v>39</v>
      </c>
      <c r="N281" s="22"/>
      <c r="O281" s="24"/>
      <c r="P281" s="22"/>
      <c r="Q281" s="22"/>
    </row>
    <row r="282" customFormat="false" ht="33.75" hidden="false" customHeight="true" outlineLevel="0" collapsed="false">
      <c r="A282" s="20" t="s">
        <v>1509</v>
      </c>
      <c r="B282" s="21" t="s">
        <v>61</v>
      </c>
      <c r="C282" s="21" t="s">
        <v>1406</v>
      </c>
      <c r="D282" s="21" t="s">
        <v>1510</v>
      </c>
      <c r="E282" s="21" t="s">
        <v>178</v>
      </c>
      <c r="F282" s="20" t="s">
        <v>80</v>
      </c>
      <c r="G282" s="20" t="s">
        <v>121</v>
      </c>
      <c r="H282" s="21" t="s">
        <v>1511</v>
      </c>
      <c r="I282" s="21" t="s">
        <v>1512</v>
      </c>
      <c r="J282" s="21" t="s">
        <v>117</v>
      </c>
      <c r="K282" s="21" t="s">
        <v>1513</v>
      </c>
      <c r="L282" s="22"/>
      <c r="M282" s="23" t="s">
        <v>39</v>
      </c>
      <c r="N282" s="22"/>
      <c r="O282" s="24"/>
      <c r="P282" s="22"/>
      <c r="Q282" s="22"/>
    </row>
    <row r="283" customFormat="false" ht="33.75" hidden="false" customHeight="true" outlineLevel="0" collapsed="false">
      <c r="A283" s="20" t="s">
        <v>1514</v>
      </c>
      <c r="B283" s="21" t="s">
        <v>61</v>
      </c>
      <c r="C283" s="21" t="s">
        <v>1515</v>
      </c>
      <c r="D283" s="21" t="s">
        <v>1516</v>
      </c>
      <c r="E283" s="21" t="s">
        <v>178</v>
      </c>
      <c r="F283" s="20" t="s">
        <v>79</v>
      </c>
      <c r="G283" s="20" t="s">
        <v>106</v>
      </c>
      <c r="H283" s="21" t="s">
        <v>1517</v>
      </c>
      <c r="I283" s="21" t="s">
        <v>1518</v>
      </c>
      <c r="J283" s="21" t="s">
        <v>117</v>
      </c>
      <c r="K283" s="21" t="s">
        <v>1519</v>
      </c>
      <c r="L283" s="22"/>
      <c r="M283" s="23" t="s">
        <v>39</v>
      </c>
      <c r="N283" s="22"/>
      <c r="O283" s="24"/>
      <c r="P283" s="22"/>
      <c r="Q283" s="22"/>
    </row>
    <row r="284" customFormat="false" ht="48" hidden="false" customHeight="true" outlineLevel="0" collapsed="false">
      <c r="A284" s="20" t="s">
        <v>1520</v>
      </c>
      <c r="B284" s="21" t="s">
        <v>62</v>
      </c>
      <c r="C284" s="21" t="s">
        <v>1521</v>
      </c>
      <c r="D284" s="21" t="s">
        <v>1522</v>
      </c>
      <c r="E284" s="21" t="s">
        <v>1523</v>
      </c>
      <c r="F284" s="20" t="s">
        <v>79</v>
      </c>
      <c r="G284" s="20" t="s">
        <v>1007</v>
      </c>
      <c r="H284" s="21" t="s">
        <v>1524</v>
      </c>
      <c r="I284" s="21" t="s">
        <v>1525</v>
      </c>
      <c r="J284" s="21" t="s">
        <v>117</v>
      </c>
      <c r="K284" s="21" t="s">
        <v>1526</v>
      </c>
      <c r="L284" s="22"/>
      <c r="M284" s="23" t="s">
        <v>39</v>
      </c>
      <c r="N284" s="22"/>
      <c r="O284" s="24"/>
      <c r="P284" s="22"/>
      <c r="Q284" s="22"/>
    </row>
    <row r="285" customFormat="false" ht="33.75" hidden="false" customHeight="true" outlineLevel="0" collapsed="false">
      <c r="A285" s="20" t="s">
        <v>1527</v>
      </c>
      <c r="B285" s="21" t="s">
        <v>62</v>
      </c>
      <c r="C285" s="21" t="s">
        <v>1521</v>
      </c>
      <c r="D285" s="21" t="s">
        <v>1528</v>
      </c>
      <c r="E285" s="21" t="s">
        <v>178</v>
      </c>
      <c r="F285" s="20" t="s">
        <v>79</v>
      </c>
      <c r="G285" s="20" t="s">
        <v>1007</v>
      </c>
      <c r="H285" s="21" t="s">
        <v>1529</v>
      </c>
      <c r="I285" s="21" t="s">
        <v>1530</v>
      </c>
      <c r="J285" s="21" t="s">
        <v>117</v>
      </c>
      <c r="K285" s="21" t="s">
        <v>1531</v>
      </c>
      <c r="L285" s="22"/>
      <c r="M285" s="23" t="s">
        <v>39</v>
      </c>
      <c r="N285" s="22"/>
      <c r="O285" s="24"/>
      <c r="P285" s="22"/>
      <c r="Q285" s="22"/>
    </row>
    <row r="286" customFormat="false" ht="48" hidden="false" customHeight="true" outlineLevel="0" collapsed="false">
      <c r="A286" s="20" t="s">
        <v>1532</v>
      </c>
      <c r="B286" s="21" t="s">
        <v>62</v>
      </c>
      <c r="C286" s="21" t="s">
        <v>1521</v>
      </c>
      <c r="D286" s="21" t="s">
        <v>1533</v>
      </c>
      <c r="E286" s="21" t="s">
        <v>178</v>
      </c>
      <c r="F286" s="20" t="s">
        <v>79</v>
      </c>
      <c r="G286" s="20" t="s">
        <v>1007</v>
      </c>
      <c r="H286" s="21" t="s">
        <v>1534</v>
      </c>
      <c r="I286" s="21" t="s">
        <v>1535</v>
      </c>
      <c r="J286" s="21" t="s">
        <v>117</v>
      </c>
      <c r="K286" s="21" t="s">
        <v>1536</v>
      </c>
      <c r="L286" s="22"/>
      <c r="M286" s="23" t="s">
        <v>39</v>
      </c>
      <c r="N286" s="22"/>
      <c r="O286" s="24"/>
      <c r="P286" s="22"/>
      <c r="Q286" s="22"/>
    </row>
    <row r="287" customFormat="false" ht="61.5" hidden="false" customHeight="true" outlineLevel="0" collapsed="false">
      <c r="A287" s="20" t="s">
        <v>1537</v>
      </c>
      <c r="B287" s="21" t="s">
        <v>62</v>
      </c>
      <c r="C287" s="21" t="s">
        <v>1521</v>
      </c>
      <c r="D287" s="21" t="s">
        <v>1538</v>
      </c>
      <c r="E287" s="21" t="s">
        <v>190</v>
      </c>
      <c r="F287" s="20" t="s">
        <v>79</v>
      </c>
      <c r="G287" s="20" t="s">
        <v>1007</v>
      </c>
      <c r="H287" s="21" t="s">
        <v>1539</v>
      </c>
      <c r="I287" s="21" t="s">
        <v>1540</v>
      </c>
      <c r="J287" s="21" t="s">
        <v>117</v>
      </c>
      <c r="K287" s="21" t="s">
        <v>1541</v>
      </c>
      <c r="L287" s="22"/>
      <c r="M287" s="23" t="s">
        <v>39</v>
      </c>
      <c r="N287" s="22"/>
      <c r="O287" s="24"/>
      <c r="P287" s="22"/>
      <c r="Q287" s="22"/>
    </row>
    <row r="288" customFormat="false" ht="33.75" hidden="false" customHeight="true" outlineLevel="0" collapsed="false">
      <c r="A288" s="20" t="s">
        <v>1542</v>
      </c>
      <c r="B288" s="21" t="s">
        <v>62</v>
      </c>
      <c r="C288" s="21" t="s">
        <v>1521</v>
      </c>
      <c r="D288" s="21" t="s">
        <v>1543</v>
      </c>
      <c r="E288" s="21" t="s">
        <v>178</v>
      </c>
      <c r="F288" s="20" t="s">
        <v>80</v>
      </c>
      <c r="G288" s="20" t="s">
        <v>1007</v>
      </c>
      <c r="H288" s="21" t="s">
        <v>1534</v>
      </c>
      <c r="I288" s="21" t="s">
        <v>1544</v>
      </c>
      <c r="J288" s="21" t="s">
        <v>117</v>
      </c>
      <c r="K288" s="21" t="s">
        <v>1545</v>
      </c>
      <c r="L288" s="22"/>
      <c r="M288" s="23" t="s">
        <v>39</v>
      </c>
      <c r="N288" s="22"/>
      <c r="O288" s="24"/>
      <c r="P288" s="22"/>
      <c r="Q288" s="22"/>
    </row>
    <row r="289" customFormat="false" ht="33.75" hidden="false" customHeight="true" outlineLevel="0" collapsed="false">
      <c r="A289" s="20" t="s">
        <v>1546</v>
      </c>
      <c r="B289" s="21" t="s">
        <v>62</v>
      </c>
      <c r="C289" s="21" t="s">
        <v>1521</v>
      </c>
      <c r="D289" s="21" t="s">
        <v>1547</v>
      </c>
      <c r="E289" s="21" t="s">
        <v>190</v>
      </c>
      <c r="F289" s="20" t="s">
        <v>80</v>
      </c>
      <c r="G289" s="20" t="s">
        <v>136</v>
      </c>
      <c r="H289" s="21" t="s">
        <v>1548</v>
      </c>
      <c r="I289" s="21" t="s">
        <v>1549</v>
      </c>
      <c r="J289" s="21" t="s">
        <v>117</v>
      </c>
      <c r="K289" s="21" t="s">
        <v>1550</v>
      </c>
      <c r="L289" s="22"/>
      <c r="M289" s="23" t="s">
        <v>39</v>
      </c>
      <c r="N289" s="22"/>
      <c r="O289" s="24"/>
      <c r="P289" s="22"/>
      <c r="Q289" s="22"/>
    </row>
    <row r="290" customFormat="false" ht="33.75" hidden="false" customHeight="true" outlineLevel="0" collapsed="false">
      <c r="A290" s="20" t="s">
        <v>1551</v>
      </c>
      <c r="B290" s="21" t="s">
        <v>62</v>
      </c>
      <c r="C290" s="21" t="s">
        <v>1552</v>
      </c>
      <c r="D290" s="21" t="s">
        <v>1553</v>
      </c>
      <c r="E290" s="21" t="s">
        <v>190</v>
      </c>
      <c r="F290" s="20" t="s">
        <v>79</v>
      </c>
      <c r="G290" s="20" t="s">
        <v>106</v>
      </c>
      <c r="H290" s="21" t="s">
        <v>1554</v>
      </c>
      <c r="I290" s="21" t="s">
        <v>1555</v>
      </c>
      <c r="J290" s="21" t="s">
        <v>117</v>
      </c>
      <c r="K290" s="21" t="s">
        <v>1556</v>
      </c>
      <c r="L290" s="22"/>
      <c r="M290" s="23" t="s">
        <v>39</v>
      </c>
      <c r="N290" s="22"/>
      <c r="O290" s="24"/>
      <c r="P290" s="22"/>
      <c r="Q290" s="22"/>
    </row>
    <row r="291" customFormat="false" ht="61.5" hidden="false" customHeight="true" outlineLevel="0" collapsed="false">
      <c r="A291" s="20" t="s">
        <v>1557</v>
      </c>
      <c r="B291" s="21" t="s">
        <v>62</v>
      </c>
      <c r="C291" s="21" t="s">
        <v>1558</v>
      </c>
      <c r="D291" s="21" t="s">
        <v>1559</v>
      </c>
      <c r="E291" s="21" t="s">
        <v>190</v>
      </c>
      <c r="F291" s="20" t="s">
        <v>79</v>
      </c>
      <c r="G291" s="20" t="s">
        <v>106</v>
      </c>
      <c r="H291" s="21" t="s">
        <v>1560</v>
      </c>
      <c r="I291" s="21" t="s">
        <v>1561</v>
      </c>
      <c r="J291" s="21" t="s">
        <v>117</v>
      </c>
      <c r="K291" s="21" t="s">
        <v>1562</v>
      </c>
      <c r="L291" s="22"/>
      <c r="M291" s="23" t="s">
        <v>39</v>
      </c>
      <c r="N291" s="22"/>
      <c r="O291" s="24"/>
      <c r="P291" s="22"/>
      <c r="Q291" s="22"/>
    </row>
    <row r="292" customFormat="false" ht="33.75" hidden="false" customHeight="true" outlineLevel="0" collapsed="false">
      <c r="A292" s="20" t="s">
        <v>1563</v>
      </c>
      <c r="B292" s="21" t="s">
        <v>62</v>
      </c>
      <c r="C292" s="21" t="s">
        <v>1558</v>
      </c>
      <c r="D292" s="21" t="s">
        <v>1564</v>
      </c>
      <c r="E292" s="21" t="s">
        <v>190</v>
      </c>
      <c r="F292" s="20" t="s">
        <v>79</v>
      </c>
      <c r="G292" s="20" t="s">
        <v>136</v>
      </c>
      <c r="H292" s="21" t="s">
        <v>1565</v>
      </c>
      <c r="I292" s="21" t="s">
        <v>1566</v>
      </c>
      <c r="J292" s="21" t="s">
        <v>117</v>
      </c>
      <c r="K292" s="21" t="s">
        <v>1567</v>
      </c>
      <c r="L292" s="22"/>
      <c r="M292" s="23" t="s">
        <v>39</v>
      </c>
      <c r="N292" s="22"/>
      <c r="O292" s="24"/>
      <c r="P292" s="22"/>
      <c r="Q292" s="22"/>
    </row>
    <row r="293" customFormat="false" ht="33.75" hidden="false" customHeight="true" outlineLevel="0" collapsed="false">
      <c r="A293" s="20" t="s">
        <v>1568</v>
      </c>
      <c r="B293" s="21" t="s">
        <v>62</v>
      </c>
      <c r="C293" s="21" t="s">
        <v>1558</v>
      </c>
      <c r="D293" s="21" t="s">
        <v>1569</v>
      </c>
      <c r="E293" s="21" t="s">
        <v>190</v>
      </c>
      <c r="F293" s="20" t="s">
        <v>80</v>
      </c>
      <c r="G293" s="20" t="s">
        <v>136</v>
      </c>
      <c r="H293" s="21" t="s">
        <v>1570</v>
      </c>
      <c r="I293" s="21" t="s">
        <v>1566</v>
      </c>
      <c r="J293" s="21" t="s">
        <v>117</v>
      </c>
      <c r="K293" s="21" t="s">
        <v>1571</v>
      </c>
      <c r="L293" s="22"/>
      <c r="M293" s="23" t="s">
        <v>39</v>
      </c>
      <c r="N293" s="22"/>
      <c r="O293" s="24"/>
      <c r="P293" s="22"/>
      <c r="Q293" s="22"/>
    </row>
    <row r="294" customFormat="false" ht="33.75" hidden="false" customHeight="true" outlineLevel="0" collapsed="false">
      <c r="A294" s="20" t="s">
        <v>1572</v>
      </c>
      <c r="B294" s="21" t="s">
        <v>62</v>
      </c>
      <c r="C294" s="21" t="s">
        <v>1558</v>
      </c>
      <c r="D294" s="21" t="s">
        <v>1573</v>
      </c>
      <c r="E294" s="21" t="s">
        <v>190</v>
      </c>
      <c r="F294" s="20" t="s">
        <v>80</v>
      </c>
      <c r="G294" s="20" t="s">
        <v>136</v>
      </c>
      <c r="H294" s="21" t="s">
        <v>1574</v>
      </c>
      <c r="I294" s="21" t="s">
        <v>1566</v>
      </c>
      <c r="J294" s="21" t="s">
        <v>117</v>
      </c>
      <c r="K294" s="21" t="s">
        <v>1575</v>
      </c>
      <c r="L294" s="22"/>
      <c r="M294" s="23" t="s">
        <v>39</v>
      </c>
      <c r="N294" s="22"/>
      <c r="O294" s="24"/>
      <c r="P294" s="22"/>
      <c r="Q294" s="22"/>
    </row>
    <row r="295" customFormat="false" ht="33.75" hidden="false" customHeight="true" outlineLevel="0" collapsed="false">
      <c r="A295" s="20" t="s">
        <v>1576</v>
      </c>
      <c r="B295" s="21" t="s">
        <v>62</v>
      </c>
      <c r="C295" s="21" t="s">
        <v>1558</v>
      </c>
      <c r="D295" s="21" t="s">
        <v>1577</v>
      </c>
      <c r="E295" s="21" t="s">
        <v>190</v>
      </c>
      <c r="F295" s="20" t="s">
        <v>80</v>
      </c>
      <c r="G295" s="20" t="s">
        <v>114</v>
      </c>
      <c r="H295" s="21" t="s">
        <v>1578</v>
      </c>
      <c r="I295" s="21" t="s">
        <v>1579</v>
      </c>
      <c r="J295" s="21" t="s">
        <v>117</v>
      </c>
      <c r="K295" s="21" t="s">
        <v>1580</v>
      </c>
      <c r="L295" s="22"/>
      <c r="M295" s="23" t="s">
        <v>39</v>
      </c>
      <c r="N295" s="22"/>
      <c r="O295" s="24"/>
      <c r="P295" s="22"/>
      <c r="Q295" s="22"/>
    </row>
    <row r="296" customFormat="false" ht="48" hidden="false" customHeight="true" outlineLevel="0" collapsed="false">
      <c r="A296" s="20" t="s">
        <v>1581</v>
      </c>
      <c r="B296" s="21" t="s">
        <v>62</v>
      </c>
      <c r="C296" s="21" t="s">
        <v>1582</v>
      </c>
      <c r="D296" s="21" t="s">
        <v>1583</v>
      </c>
      <c r="E296" s="21" t="s">
        <v>190</v>
      </c>
      <c r="F296" s="20" t="s">
        <v>79</v>
      </c>
      <c r="G296" s="20" t="s">
        <v>106</v>
      </c>
      <c r="H296" s="21" t="s">
        <v>1584</v>
      </c>
      <c r="I296" s="21" t="s">
        <v>1585</v>
      </c>
      <c r="J296" s="21" t="s">
        <v>117</v>
      </c>
      <c r="K296" s="21" t="s">
        <v>1586</v>
      </c>
      <c r="L296" s="22"/>
      <c r="M296" s="23" t="s">
        <v>39</v>
      </c>
      <c r="N296" s="22"/>
      <c r="O296" s="24"/>
      <c r="P296" s="22"/>
      <c r="Q296" s="22"/>
    </row>
    <row r="297" customFormat="false" ht="48" hidden="false" customHeight="true" outlineLevel="0" collapsed="false">
      <c r="A297" s="20" t="s">
        <v>1587</v>
      </c>
      <c r="B297" s="21" t="s">
        <v>62</v>
      </c>
      <c r="C297" s="21" t="s">
        <v>1582</v>
      </c>
      <c r="D297" s="21" t="s">
        <v>1588</v>
      </c>
      <c r="E297" s="21" t="s">
        <v>1589</v>
      </c>
      <c r="F297" s="20" t="s">
        <v>79</v>
      </c>
      <c r="G297" s="20" t="s">
        <v>136</v>
      </c>
      <c r="H297" s="21" t="s">
        <v>1590</v>
      </c>
      <c r="I297" s="21" t="s">
        <v>1591</v>
      </c>
      <c r="J297" s="21" t="s">
        <v>117</v>
      </c>
      <c r="K297" s="21" t="s">
        <v>1592</v>
      </c>
      <c r="L297" s="22"/>
      <c r="M297" s="23" t="s">
        <v>39</v>
      </c>
      <c r="N297" s="22"/>
      <c r="O297" s="24"/>
      <c r="P297" s="22"/>
      <c r="Q297" s="22"/>
    </row>
    <row r="298" customFormat="false" ht="33.75" hidden="false" customHeight="true" outlineLevel="0" collapsed="false">
      <c r="A298" s="20" t="s">
        <v>1593</v>
      </c>
      <c r="B298" s="21" t="s">
        <v>62</v>
      </c>
      <c r="C298" s="21" t="s">
        <v>1582</v>
      </c>
      <c r="D298" s="21" t="s">
        <v>1594</v>
      </c>
      <c r="E298" s="21" t="s">
        <v>190</v>
      </c>
      <c r="F298" s="20" t="s">
        <v>80</v>
      </c>
      <c r="G298" s="20" t="s">
        <v>106</v>
      </c>
      <c r="H298" s="21" t="s">
        <v>1595</v>
      </c>
      <c r="I298" s="21" t="s">
        <v>1596</v>
      </c>
      <c r="J298" s="21" t="s">
        <v>117</v>
      </c>
      <c r="K298" s="21" t="s">
        <v>1597</v>
      </c>
      <c r="L298" s="22"/>
      <c r="M298" s="23" t="s">
        <v>39</v>
      </c>
      <c r="N298" s="22"/>
      <c r="O298" s="24"/>
      <c r="P298" s="22"/>
      <c r="Q298" s="22"/>
    </row>
    <row r="299" customFormat="false" ht="48" hidden="false" customHeight="true" outlineLevel="0" collapsed="false">
      <c r="A299" s="20" t="s">
        <v>1598</v>
      </c>
      <c r="B299" s="21" t="s">
        <v>63</v>
      </c>
      <c r="C299" s="21" t="s">
        <v>210</v>
      </c>
      <c r="D299" s="21" t="s">
        <v>1599</v>
      </c>
      <c r="E299" s="21" t="s">
        <v>190</v>
      </c>
      <c r="F299" s="20" t="s">
        <v>79</v>
      </c>
      <c r="G299" s="20" t="s">
        <v>106</v>
      </c>
      <c r="H299" s="21" t="s">
        <v>1600</v>
      </c>
      <c r="I299" s="21" t="s">
        <v>1601</v>
      </c>
      <c r="J299" s="21" t="s">
        <v>117</v>
      </c>
      <c r="K299" s="21" t="s">
        <v>1602</v>
      </c>
      <c r="L299" s="22"/>
      <c r="M299" s="23" t="s">
        <v>39</v>
      </c>
      <c r="N299" s="22"/>
      <c r="O299" s="24"/>
      <c r="P299" s="22"/>
      <c r="Q299" s="22"/>
    </row>
    <row r="300" customFormat="false" ht="33.75" hidden="false" customHeight="true" outlineLevel="0" collapsed="false">
      <c r="A300" s="20" t="s">
        <v>1603</v>
      </c>
      <c r="B300" s="21" t="s">
        <v>63</v>
      </c>
      <c r="C300" s="21" t="s">
        <v>210</v>
      </c>
      <c r="D300" s="21" t="s">
        <v>1604</v>
      </c>
      <c r="E300" s="21" t="s">
        <v>190</v>
      </c>
      <c r="F300" s="20" t="s">
        <v>79</v>
      </c>
      <c r="G300" s="20" t="s">
        <v>121</v>
      </c>
      <c r="H300" s="21" t="s">
        <v>1605</v>
      </c>
      <c r="I300" s="21" t="s">
        <v>1606</v>
      </c>
      <c r="J300" s="21" t="s">
        <v>117</v>
      </c>
      <c r="K300" s="21" t="s">
        <v>1607</v>
      </c>
      <c r="L300" s="22"/>
      <c r="M300" s="23" t="s">
        <v>39</v>
      </c>
      <c r="N300" s="22"/>
      <c r="O300" s="24"/>
      <c r="P300" s="22"/>
      <c r="Q300" s="22"/>
    </row>
    <row r="301" customFormat="false" ht="48" hidden="false" customHeight="true" outlineLevel="0" collapsed="false">
      <c r="A301" s="20" t="s">
        <v>1608</v>
      </c>
      <c r="B301" s="21" t="s">
        <v>63</v>
      </c>
      <c r="C301" s="21" t="s">
        <v>210</v>
      </c>
      <c r="D301" s="21" t="s">
        <v>1609</v>
      </c>
      <c r="E301" s="21" t="s">
        <v>190</v>
      </c>
      <c r="F301" s="20" t="s">
        <v>79</v>
      </c>
      <c r="G301" s="20" t="s">
        <v>136</v>
      </c>
      <c r="H301" s="21" t="s">
        <v>1610</v>
      </c>
      <c r="I301" s="21" t="s">
        <v>1611</v>
      </c>
      <c r="J301" s="21" t="s">
        <v>117</v>
      </c>
      <c r="K301" s="21" t="s">
        <v>1612</v>
      </c>
      <c r="L301" s="22"/>
      <c r="M301" s="23" t="s">
        <v>39</v>
      </c>
      <c r="N301" s="22"/>
      <c r="O301" s="24"/>
      <c r="P301" s="22"/>
      <c r="Q301" s="22"/>
    </row>
    <row r="302" customFormat="false" ht="33.75" hidden="false" customHeight="true" outlineLevel="0" collapsed="false">
      <c r="A302" s="20" t="s">
        <v>1613</v>
      </c>
      <c r="B302" s="21" t="s">
        <v>63</v>
      </c>
      <c r="C302" s="21" t="s">
        <v>210</v>
      </c>
      <c r="D302" s="21" t="s">
        <v>1614</v>
      </c>
      <c r="E302" s="21" t="s">
        <v>190</v>
      </c>
      <c r="F302" s="20" t="s">
        <v>79</v>
      </c>
      <c r="G302" s="20" t="s">
        <v>136</v>
      </c>
      <c r="H302" s="21" t="s">
        <v>1615</v>
      </c>
      <c r="I302" s="21" t="s">
        <v>1616</v>
      </c>
      <c r="J302" s="21" t="s">
        <v>117</v>
      </c>
      <c r="K302" s="21" t="s">
        <v>1617</v>
      </c>
      <c r="L302" s="22"/>
      <c r="M302" s="23" t="s">
        <v>39</v>
      </c>
      <c r="N302" s="22"/>
      <c r="O302" s="24"/>
      <c r="P302" s="22"/>
      <c r="Q302" s="22"/>
    </row>
    <row r="303" customFormat="false" ht="33.75" hidden="false" customHeight="true" outlineLevel="0" collapsed="false">
      <c r="A303" s="20" t="s">
        <v>1618</v>
      </c>
      <c r="B303" s="21" t="s">
        <v>63</v>
      </c>
      <c r="C303" s="21" t="s">
        <v>210</v>
      </c>
      <c r="D303" s="21" t="s">
        <v>1619</v>
      </c>
      <c r="E303" s="21" t="s">
        <v>190</v>
      </c>
      <c r="F303" s="20" t="s">
        <v>80</v>
      </c>
      <c r="G303" s="20" t="s">
        <v>136</v>
      </c>
      <c r="H303" s="21" t="s">
        <v>1620</v>
      </c>
      <c r="I303" s="21" t="s">
        <v>1621</v>
      </c>
      <c r="J303" s="21" t="s">
        <v>117</v>
      </c>
      <c r="K303" s="21" t="s">
        <v>1622</v>
      </c>
      <c r="L303" s="22"/>
      <c r="M303" s="23" t="s">
        <v>39</v>
      </c>
      <c r="N303" s="22"/>
      <c r="O303" s="24"/>
      <c r="P303" s="22"/>
      <c r="Q303" s="22"/>
    </row>
    <row r="304" customFormat="false" ht="33.75" hidden="false" customHeight="true" outlineLevel="0" collapsed="false">
      <c r="A304" s="20" t="s">
        <v>1623</v>
      </c>
      <c r="B304" s="21" t="s">
        <v>63</v>
      </c>
      <c r="C304" s="21" t="s">
        <v>210</v>
      </c>
      <c r="D304" s="21" t="s">
        <v>1624</v>
      </c>
      <c r="E304" s="21" t="s">
        <v>190</v>
      </c>
      <c r="F304" s="20" t="s">
        <v>79</v>
      </c>
      <c r="G304" s="20" t="s">
        <v>121</v>
      </c>
      <c r="H304" s="21" t="s">
        <v>1295</v>
      </c>
      <c r="I304" s="21" t="s">
        <v>1625</v>
      </c>
      <c r="J304" s="21" t="s">
        <v>117</v>
      </c>
      <c r="K304" s="21" t="s">
        <v>1626</v>
      </c>
      <c r="L304" s="22"/>
      <c r="M304" s="23" t="s">
        <v>39</v>
      </c>
      <c r="N304" s="22"/>
      <c r="O304" s="24"/>
      <c r="P304" s="22"/>
      <c r="Q304" s="22"/>
    </row>
    <row r="305" customFormat="false" ht="33.75" hidden="false" customHeight="true" outlineLevel="0" collapsed="false">
      <c r="A305" s="20" t="s">
        <v>1627</v>
      </c>
      <c r="B305" s="21" t="s">
        <v>63</v>
      </c>
      <c r="C305" s="21" t="s">
        <v>1628</v>
      </c>
      <c r="D305" s="21" t="s">
        <v>1629</v>
      </c>
      <c r="E305" s="21" t="s">
        <v>190</v>
      </c>
      <c r="F305" s="20" t="s">
        <v>79</v>
      </c>
      <c r="G305" s="20" t="s">
        <v>106</v>
      </c>
      <c r="H305" s="21" t="s">
        <v>1630</v>
      </c>
      <c r="I305" s="21" t="s">
        <v>1631</v>
      </c>
      <c r="J305" s="21" t="s">
        <v>117</v>
      </c>
      <c r="K305" s="21" t="s">
        <v>1632</v>
      </c>
      <c r="L305" s="22"/>
      <c r="M305" s="23" t="s">
        <v>39</v>
      </c>
      <c r="N305" s="22"/>
      <c r="O305" s="24"/>
      <c r="P305" s="22"/>
      <c r="Q305" s="22"/>
    </row>
    <row r="306" customFormat="false" ht="48" hidden="false" customHeight="true" outlineLevel="0" collapsed="false">
      <c r="A306" s="20" t="s">
        <v>1633</v>
      </c>
      <c r="B306" s="21" t="s">
        <v>63</v>
      </c>
      <c r="C306" s="21" t="s">
        <v>1628</v>
      </c>
      <c r="D306" s="21" t="s">
        <v>1634</v>
      </c>
      <c r="E306" s="21" t="s">
        <v>190</v>
      </c>
      <c r="F306" s="20" t="s">
        <v>80</v>
      </c>
      <c r="G306" s="20" t="s">
        <v>136</v>
      </c>
      <c r="H306" s="21" t="s">
        <v>1635</v>
      </c>
      <c r="I306" s="21" t="s">
        <v>1636</v>
      </c>
      <c r="J306" s="21" t="s">
        <v>117</v>
      </c>
      <c r="K306" s="21" t="s">
        <v>1637</v>
      </c>
      <c r="L306" s="22"/>
      <c r="M306" s="23" t="s">
        <v>39</v>
      </c>
      <c r="N306" s="22"/>
      <c r="O306" s="24"/>
      <c r="P306" s="22"/>
      <c r="Q306" s="22"/>
    </row>
    <row r="307" customFormat="false" ht="48" hidden="false" customHeight="true" outlineLevel="0" collapsed="false">
      <c r="A307" s="20" t="s">
        <v>1638</v>
      </c>
      <c r="B307" s="21" t="s">
        <v>64</v>
      </c>
      <c r="C307" s="21" t="s">
        <v>1124</v>
      </c>
      <c r="D307" s="21" t="s">
        <v>1639</v>
      </c>
      <c r="E307" s="21" t="s">
        <v>178</v>
      </c>
      <c r="F307" s="20" t="s">
        <v>79</v>
      </c>
      <c r="G307" s="20" t="s">
        <v>106</v>
      </c>
      <c r="H307" s="21" t="s">
        <v>1640</v>
      </c>
      <c r="I307" s="21" t="s">
        <v>1641</v>
      </c>
      <c r="J307" s="21" t="s">
        <v>117</v>
      </c>
      <c r="K307" s="21" t="s">
        <v>1642</v>
      </c>
      <c r="L307" s="22"/>
      <c r="M307" s="23" t="s">
        <v>39</v>
      </c>
      <c r="N307" s="22"/>
      <c r="O307" s="24"/>
      <c r="P307" s="22"/>
      <c r="Q307" s="22"/>
    </row>
    <row r="308" customFormat="false" ht="48" hidden="false" customHeight="true" outlineLevel="0" collapsed="false">
      <c r="A308" s="20" t="s">
        <v>1643</v>
      </c>
      <c r="B308" s="21" t="s">
        <v>64</v>
      </c>
      <c r="C308" s="21" t="s">
        <v>1124</v>
      </c>
      <c r="D308" s="21" t="s">
        <v>1644</v>
      </c>
      <c r="E308" s="21" t="s">
        <v>178</v>
      </c>
      <c r="F308" s="20" t="s">
        <v>79</v>
      </c>
      <c r="G308" s="20" t="s">
        <v>106</v>
      </c>
      <c r="H308" s="21" t="s">
        <v>1645</v>
      </c>
      <c r="I308" s="21" t="s">
        <v>1646</v>
      </c>
      <c r="J308" s="21" t="s">
        <v>117</v>
      </c>
      <c r="K308" s="21" t="s">
        <v>1647</v>
      </c>
      <c r="L308" s="22"/>
      <c r="M308" s="23" t="s">
        <v>39</v>
      </c>
      <c r="N308" s="22"/>
      <c r="O308" s="24"/>
      <c r="P308" s="22"/>
      <c r="Q308" s="22"/>
    </row>
    <row r="309" customFormat="false" ht="48" hidden="false" customHeight="true" outlineLevel="0" collapsed="false">
      <c r="A309" s="20" t="s">
        <v>1648</v>
      </c>
      <c r="B309" s="21" t="s">
        <v>64</v>
      </c>
      <c r="C309" s="21" t="s">
        <v>1124</v>
      </c>
      <c r="D309" s="21" t="s">
        <v>1649</v>
      </c>
      <c r="E309" s="21" t="s">
        <v>178</v>
      </c>
      <c r="F309" s="20" t="s">
        <v>79</v>
      </c>
      <c r="G309" s="20" t="s">
        <v>114</v>
      </c>
      <c r="H309" s="21" t="s">
        <v>1650</v>
      </c>
      <c r="I309" s="21" t="s">
        <v>1651</v>
      </c>
      <c r="J309" s="21" t="s">
        <v>117</v>
      </c>
      <c r="K309" s="21" t="s">
        <v>1652</v>
      </c>
      <c r="L309" s="22"/>
      <c r="M309" s="23" t="s">
        <v>39</v>
      </c>
      <c r="N309" s="22"/>
      <c r="O309" s="24"/>
      <c r="P309" s="22"/>
      <c r="Q309" s="22"/>
    </row>
    <row r="310" customFormat="false" ht="33.75" hidden="false" customHeight="true" outlineLevel="0" collapsed="false">
      <c r="A310" s="20" t="s">
        <v>1653</v>
      </c>
      <c r="B310" s="21" t="s">
        <v>64</v>
      </c>
      <c r="C310" s="21" t="s">
        <v>1124</v>
      </c>
      <c r="D310" s="21" t="s">
        <v>1654</v>
      </c>
      <c r="E310" s="21" t="s">
        <v>178</v>
      </c>
      <c r="F310" s="20" t="s">
        <v>79</v>
      </c>
      <c r="G310" s="20" t="s">
        <v>136</v>
      </c>
      <c r="H310" s="21" t="s">
        <v>1655</v>
      </c>
      <c r="I310" s="21" t="s">
        <v>1656</v>
      </c>
      <c r="J310" s="21" t="s">
        <v>117</v>
      </c>
      <c r="K310" s="21" t="s">
        <v>1657</v>
      </c>
      <c r="L310" s="22"/>
      <c r="M310" s="23" t="s">
        <v>39</v>
      </c>
      <c r="N310" s="22"/>
      <c r="O310" s="24"/>
      <c r="P310" s="22"/>
      <c r="Q310" s="22"/>
    </row>
    <row r="311" customFormat="false" ht="33.75" hidden="false" customHeight="true" outlineLevel="0" collapsed="false">
      <c r="A311" s="20" t="s">
        <v>1658</v>
      </c>
      <c r="B311" s="21" t="s">
        <v>64</v>
      </c>
      <c r="C311" s="21" t="s">
        <v>1124</v>
      </c>
      <c r="D311" s="21" t="s">
        <v>1659</v>
      </c>
      <c r="E311" s="21" t="s">
        <v>178</v>
      </c>
      <c r="F311" s="20" t="s">
        <v>80</v>
      </c>
      <c r="G311" s="20" t="s">
        <v>114</v>
      </c>
      <c r="H311" s="21" t="s">
        <v>1660</v>
      </c>
      <c r="I311" s="21" t="s">
        <v>1661</v>
      </c>
      <c r="J311" s="21" t="s">
        <v>117</v>
      </c>
      <c r="K311" s="21" t="s">
        <v>1662</v>
      </c>
      <c r="L311" s="22"/>
      <c r="M311" s="23" t="s">
        <v>39</v>
      </c>
      <c r="N311" s="22"/>
      <c r="O311" s="24"/>
      <c r="P311" s="22"/>
      <c r="Q311" s="22"/>
    </row>
    <row r="312" customFormat="false" ht="33.75" hidden="false" customHeight="true" outlineLevel="0" collapsed="false">
      <c r="A312" s="20" t="s">
        <v>1663</v>
      </c>
      <c r="B312" s="21" t="s">
        <v>64</v>
      </c>
      <c r="C312" s="21" t="s">
        <v>1124</v>
      </c>
      <c r="D312" s="21" t="s">
        <v>1664</v>
      </c>
      <c r="E312" s="21" t="s">
        <v>178</v>
      </c>
      <c r="F312" s="20" t="s">
        <v>81</v>
      </c>
      <c r="G312" s="20" t="s">
        <v>136</v>
      </c>
      <c r="H312" s="21" t="s">
        <v>1665</v>
      </c>
      <c r="I312" s="21" t="s">
        <v>1656</v>
      </c>
      <c r="J312" s="21" t="s">
        <v>117</v>
      </c>
      <c r="K312" s="21" t="s">
        <v>1666</v>
      </c>
      <c r="L312" s="22"/>
      <c r="M312" s="23" t="s">
        <v>39</v>
      </c>
      <c r="N312" s="22"/>
      <c r="O312" s="24"/>
      <c r="P312" s="22"/>
      <c r="Q312" s="22"/>
    </row>
    <row r="313" customFormat="false" ht="48" hidden="false" customHeight="true" outlineLevel="0" collapsed="false">
      <c r="A313" s="20" t="s">
        <v>1667</v>
      </c>
      <c r="B313" s="21" t="s">
        <v>64</v>
      </c>
      <c r="C313" s="21" t="s">
        <v>1124</v>
      </c>
      <c r="D313" s="21" t="s">
        <v>1668</v>
      </c>
      <c r="E313" s="21" t="s">
        <v>178</v>
      </c>
      <c r="F313" s="20" t="s">
        <v>79</v>
      </c>
      <c r="G313" s="20" t="s">
        <v>106</v>
      </c>
      <c r="H313" s="21" t="s">
        <v>1669</v>
      </c>
      <c r="I313" s="21" t="s">
        <v>1670</v>
      </c>
      <c r="J313" s="21" t="s">
        <v>117</v>
      </c>
      <c r="K313" s="21" t="s">
        <v>1671</v>
      </c>
      <c r="L313" s="22"/>
      <c r="M313" s="23" t="s">
        <v>39</v>
      </c>
      <c r="N313" s="22"/>
      <c r="O313" s="24"/>
      <c r="P313" s="22"/>
      <c r="Q313" s="22"/>
    </row>
    <row r="314" customFormat="false" ht="33.75" hidden="false" customHeight="true" outlineLevel="0" collapsed="false">
      <c r="A314" s="20" t="s">
        <v>1672</v>
      </c>
      <c r="B314" s="21" t="s">
        <v>64</v>
      </c>
      <c r="C314" s="21" t="s">
        <v>1124</v>
      </c>
      <c r="D314" s="21" t="s">
        <v>1673</v>
      </c>
      <c r="E314" s="21" t="s">
        <v>178</v>
      </c>
      <c r="F314" s="20" t="s">
        <v>81</v>
      </c>
      <c r="G314" s="20" t="s">
        <v>136</v>
      </c>
      <c r="H314" s="21" t="s">
        <v>1669</v>
      </c>
      <c r="I314" s="21" t="s">
        <v>1674</v>
      </c>
      <c r="J314" s="21" t="s">
        <v>117</v>
      </c>
      <c r="K314" s="21" t="s">
        <v>1675</v>
      </c>
      <c r="L314" s="22"/>
      <c r="M314" s="23" t="s">
        <v>39</v>
      </c>
      <c r="N314" s="22"/>
      <c r="O314" s="24"/>
      <c r="P314" s="22"/>
      <c r="Q314" s="22"/>
    </row>
    <row r="315" customFormat="false" ht="33.75" hidden="false" customHeight="true" outlineLevel="0" collapsed="false">
      <c r="A315" s="20" t="s">
        <v>1676</v>
      </c>
      <c r="B315" s="21" t="s">
        <v>64</v>
      </c>
      <c r="C315" s="21" t="s">
        <v>913</v>
      </c>
      <c r="D315" s="21" t="s">
        <v>1677</v>
      </c>
      <c r="E315" s="21" t="s">
        <v>913</v>
      </c>
      <c r="F315" s="20" t="s">
        <v>79</v>
      </c>
      <c r="G315" s="20" t="s">
        <v>106</v>
      </c>
      <c r="H315" s="21" t="s">
        <v>1678</v>
      </c>
      <c r="I315" s="21" t="s">
        <v>1679</v>
      </c>
      <c r="J315" s="21" t="s">
        <v>117</v>
      </c>
      <c r="K315" s="21" t="s">
        <v>1680</v>
      </c>
      <c r="L315" s="22"/>
      <c r="M315" s="23" t="s">
        <v>39</v>
      </c>
      <c r="N315" s="22"/>
      <c r="O315" s="24"/>
      <c r="P315" s="22"/>
      <c r="Q315" s="22"/>
    </row>
    <row r="316" customFormat="false" ht="48" hidden="false" customHeight="true" outlineLevel="0" collapsed="false">
      <c r="A316" s="20" t="s">
        <v>1681</v>
      </c>
      <c r="B316" s="21" t="s">
        <v>64</v>
      </c>
      <c r="C316" s="21" t="s">
        <v>913</v>
      </c>
      <c r="D316" s="21" t="s">
        <v>1682</v>
      </c>
      <c r="E316" s="21" t="s">
        <v>913</v>
      </c>
      <c r="F316" s="20" t="s">
        <v>79</v>
      </c>
      <c r="G316" s="20" t="s">
        <v>106</v>
      </c>
      <c r="H316" s="21" t="s">
        <v>1678</v>
      </c>
      <c r="I316" s="21" t="s">
        <v>1683</v>
      </c>
      <c r="J316" s="21" t="s">
        <v>117</v>
      </c>
      <c r="K316" s="21" t="s">
        <v>1684</v>
      </c>
      <c r="L316" s="22"/>
      <c r="M316" s="23" t="s">
        <v>39</v>
      </c>
      <c r="N316" s="22"/>
      <c r="O316" s="24"/>
      <c r="P316" s="22"/>
      <c r="Q316" s="22"/>
    </row>
    <row r="317" customFormat="false" ht="33.75" hidden="false" customHeight="true" outlineLevel="0" collapsed="false">
      <c r="A317" s="20" t="s">
        <v>1685</v>
      </c>
      <c r="B317" s="21" t="s">
        <v>64</v>
      </c>
      <c r="C317" s="21" t="s">
        <v>913</v>
      </c>
      <c r="D317" s="21" t="s">
        <v>1686</v>
      </c>
      <c r="E317" s="21" t="s">
        <v>913</v>
      </c>
      <c r="F317" s="20" t="s">
        <v>80</v>
      </c>
      <c r="G317" s="20" t="s">
        <v>136</v>
      </c>
      <c r="H317" s="21" t="s">
        <v>1669</v>
      </c>
      <c r="I317" s="21" t="s">
        <v>1687</v>
      </c>
      <c r="J317" s="21" t="s">
        <v>117</v>
      </c>
      <c r="K317" s="21" t="s">
        <v>1688</v>
      </c>
      <c r="L317" s="22"/>
      <c r="M317" s="23" t="s">
        <v>39</v>
      </c>
      <c r="N317" s="22"/>
      <c r="O317" s="24"/>
      <c r="P317" s="22"/>
      <c r="Q317" s="22"/>
    </row>
    <row r="318" customFormat="false" ht="33.75" hidden="false" customHeight="true" outlineLevel="0" collapsed="false">
      <c r="A318" s="20" t="s">
        <v>1689</v>
      </c>
      <c r="B318" s="21" t="s">
        <v>64</v>
      </c>
      <c r="C318" s="21" t="s">
        <v>1449</v>
      </c>
      <c r="D318" s="21" t="s">
        <v>1690</v>
      </c>
      <c r="E318" s="21" t="s">
        <v>1449</v>
      </c>
      <c r="F318" s="20" t="s">
        <v>79</v>
      </c>
      <c r="G318" s="20" t="s">
        <v>106</v>
      </c>
      <c r="H318" s="21" t="s">
        <v>1691</v>
      </c>
      <c r="I318" s="21" t="s">
        <v>1692</v>
      </c>
      <c r="J318" s="21" t="s">
        <v>117</v>
      </c>
      <c r="K318" s="21" t="s">
        <v>1693</v>
      </c>
      <c r="L318" s="22"/>
      <c r="M318" s="23" t="s">
        <v>39</v>
      </c>
      <c r="N318" s="22"/>
      <c r="O318" s="24"/>
      <c r="P318" s="22"/>
      <c r="Q318" s="22"/>
    </row>
    <row r="319" customFormat="false" ht="33.75" hidden="false" customHeight="true" outlineLevel="0" collapsed="false">
      <c r="A319" s="20" t="s">
        <v>1694</v>
      </c>
      <c r="B319" s="21" t="s">
        <v>64</v>
      </c>
      <c r="C319" s="21" t="s">
        <v>1449</v>
      </c>
      <c r="D319" s="21" t="s">
        <v>1695</v>
      </c>
      <c r="E319" s="21" t="s">
        <v>1449</v>
      </c>
      <c r="F319" s="20" t="s">
        <v>79</v>
      </c>
      <c r="G319" s="20" t="s">
        <v>106</v>
      </c>
      <c r="H319" s="21" t="s">
        <v>1691</v>
      </c>
      <c r="I319" s="21" t="s">
        <v>1696</v>
      </c>
      <c r="J319" s="21" t="s">
        <v>117</v>
      </c>
      <c r="K319" s="21" t="s">
        <v>1697</v>
      </c>
      <c r="L319" s="22"/>
      <c r="M319" s="23" t="s">
        <v>39</v>
      </c>
      <c r="N319" s="22"/>
      <c r="O319" s="24"/>
      <c r="P319" s="22"/>
      <c r="Q319" s="22"/>
    </row>
    <row r="320" customFormat="false" ht="33.75" hidden="false" customHeight="true" outlineLevel="0" collapsed="false">
      <c r="A320" s="20" t="s">
        <v>1698</v>
      </c>
      <c r="B320" s="21" t="s">
        <v>64</v>
      </c>
      <c r="C320" s="21" t="s">
        <v>1449</v>
      </c>
      <c r="D320" s="21" t="s">
        <v>1699</v>
      </c>
      <c r="E320" s="21" t="s">
        <v>1449</v>
      </c>
      <c r="F320" s="20" t="s">
        <v>80</v>
      </c>
      <c r="G320" s="20" t="s">
        <v>121</v>
      </c>
      <c r="H320" s="21" t="s">
        <v>1691</v>
      </c>
      <c r="I320" s="21" t="s">
        <v>1700</v>
      </c>
      <c r="J320" s="21" t="s">
        <v>117</v>
      </c>
      <c r="K320" s="21" t="s">
        <v>1701</v>
      </c>
      <c r="L320" s="22"/>
      <c r="M320" s="23" t="s">
        <v>39</v>
      </c>
      <c r="N320" s="22"/>
      <c r="O320" s="24"/>
      <c r="P320" s="22"/>
      <c r="Q320" s="22"/>
    </row>
    <row r="321" customFormat="false" ht="33.75" hidden="false" customHeight="true" outlineLevel="0" collapsed="false">
      <c r="A321" s="20" t="s">
        <v>1702</v>
      </c>
      <c r="B321" s="21" t="s">
        <v>64</v>
      </c>
      <c r="C321" s="21" t="s">
        <v>1449</v>
      </c>
      <c r="D321" s="21" t="s">
        <v>1703</v>
      </c>
      <c r="E321" s="21" t="s">
        <v>1449</v>
      </c>
      <c r="F321" s="20" t="s">
        <v>81</v>
      </c>
      <c r="G321" s="20" t="s">
        <v>121</v>
      </c>
      <c r="H321" s="21" t="s">
        <v>1678</v>
      </c>
      <c r="I321" s="21" t="s">
        <v>1704</v>
      </c>
      <c r="J321" s="21" t="s">
        <v>117</v>
      </c>
      <c r="K321" s="21" t="s">
        <v>1705</v>
      </c>
      <c r="L321" s="22"/>
      <c r="M321" s="23" t="s">
        <v>39</v>
      </c>
      <c r="N321" s="22"/>
      <c r="O321" s="24"/>
      <c r="P321" s="22"/>
      <c r="Q321" s="22"/>
    </row>
    <row r="322" customFormat="false" ht="33.75" hidden="false" customHeight="true" outlineLevel="0" collapsed="false">
      <c r="A322" s="20" t="s">
        <v>1706</v>
      </c>
      <c r="B322" s="21" t="s">
        <v>64</v>
      </c>
      <c r="C322" s="21" t="s">
        <v>1449</v>
      </c>
      <c r="D322" s="21" t="s">
        <v>1707</v>
      </c>
      <c r="E322" s="21" t="s">
        <v>1449</v>
      </c>
      <c r="F322" s="20" t="s">
        <v>80</v>
      </c>
      <c r="G322" s="20" t="s">
        <v>136</v>
      </c>
      <c r="H322" s="21" t="s">
        <v>1678</v>
      </c>
      <c r="I322" s="21" t="s">
        <v>1708</v>
      </c>
      <c r="J322" s="21" t="s">
        <v>117</v>
      </c>
      <c r="K322" s="21" t="s">
        <v>1709</v>
      </c>
      <c r="L322" s="22"/>
      <c r="M322" s="23" t="s">
        <v>39</v>
      </c>
      <c r="N322" s="22"/>
      <c r="O322" s="24"/>
      <c r="P322" s="22"/>
      <c r="Q322" s="22"/>
    </row>
    <row r="323" customFormat="false" ht="61.5" hidden="false" customHeight="true" outlineLevel="0" collapsed="false">
      <c r="A323" s="20" t="s">
        <v>1710</v>
      </c>
      <c r="B323" s="21" t="s">
        <v>64</v>
      </c>
      <c r="C323" s="21" t="s">
        <v>1711</v>
      </c>
      <c r="D323" s="21" t="s">
        <v>1712</v>
      </c>
      <c r="E323" s="21" t="s">
        <v>178</v>
      </c>
      <c r="F323" s="20" t="s">
        <v>79</v>
      </c>
      <c r="G323" s="20" t="s">
        <v>106</v>
      </c>
      <c r="H323" s="21" t="s">
        <v>1713</v>
      </c>
      <c r="I323" s="21" t="s">
        <v>1714</v>
      </c>
      <c r="J323" s="21" t="s">
        <v>1715</v>
      </c>
      <c r="K323" s="21" t="s">
        <v>1716</v>
      </c>
      <c r="L323" s="22"/>
      <c r="M323" s="23" t="s">
        <v>39</v>
      </c>
      <c r="N323" s="22"/>
      <c r="O323" s="24"/>
      <c r="P323" s="22"/>
      <c r="Q323" s="22"/>
    </row>
    <row r="324" customFormat="false" ht="33.75" hidden="false" customHeight="true" outlineLevel="0" collapsed="false">
      <c r="A324" s="20" t="s">
        <v>1717</v>
      </c>
      <c r="B324" s="21" t="s">
        <v>64</v>
      </c>
      <c r="C324" s="21" t="s">
        <v>1711</v>
      </c>
      <c r="D324" s="21" t="s">
        <v>1718</v>
      </c>
      <c r="E324" s="21" t="s">
        <v>178</v>
      </c>
      <c r="F324" s="20" t="s">
        <v>80</v>
      </c>
      <c r="G324" s="20" t="s">
        <v>136</v>
      </c>
      <c r="H324" s="21" t="s">
        <v>1713</v>
      </c>
      <c r="I324" s="21" t="s">
        <v>1719</v>
      </c>
      <c r="J324" s="21" t="s">
        <v>117</v>
      </c>
      <c r="K324" s="21" t="s">
        <v>1720</v>
      </c>
      <c r="L324" s="22"/>
      <c r="M324" s="23" t="s">
        <v>39</v>
      </c>
      <c r="N324" s="22"/>
      <c r="O324" s="24"/>
      <c r="P324" s="22"/>
      <c r="Q324" s="22"/>
    </row>
    <row r="325" customFormat="false" ht="33.75" hidden="false" customHeight="true" outlineLevel="0" collapsed="false">
      <c r="A325" s="20" t="s">
        <v>1721</v>
      </c>
      <c r="B325" s="21" t="s">
        <v>64</v>
      </c>
      <c r="C325" s="21" t="s">
        <v>1711</v>
      </c>
      <c r="D325" s="21" t="s">
        <v>1722</v>
      </c>
      <c r="E325" s="21" t="s">
        <v>178</v>
      </c>
      <c r="F325" s="20" t="s">
        <v>79</v>
      </c>
      <c r="G325" s="20" t="s">
        <v>136</v>
      </c>
      <c r="H325" s="21" t="s">
        <v>1691</v>
      </c>
      <c r="I325" s="21" t="s">
        <v>1723</v>
      </c>
      <c r="J325" s="21" t="s">
        <v>117</v>
      </c>
      <c r="K325" s="21" t="s">
        <v>1724</v>
      </c>
      <c r="L325" s="22"/>
      <c r="M325" s="23" t="s">
        <v>39</v>
      </c>
      <c r="N325" s="22"/>
      <c r="O325" s="24"/>
      <c r="P325" s="22"/>
      <c r="Q325" s="22"/>
    </row>
    <row r="326" customFormat="false" ht="33.75" hidden="false" customHeight="true" outlineLevel="0" collapsed="false">
      <c r="A326" s="20" t="s">
        <v>1725</v>
      </c>
      <c r="B326" s="21" t="s">
        <v>64</v>
      </c>
      <c r="C326" s="21" t="s">
        <v>1711</v>
      </c>
      <c r="D326" s="21" t="s">
        <v>1726</v>
      </c>
      <c r="E326" s="21" t="s">
        <v>178</v>
      </c>
      <c r="F326" s="20" t="s">
        <v>79</v>
      </c>
      <c r="G326" s="20" t="s">
        <v>136</v>
      </c>
      <c r="H326" s="21" t="s">
        <v>1727</v>
      </c>
      <c r="I326" s="21" t="s">
        <v>1728</v>
      </c>
      <c r="J326" s="21" t="s">
        <v>117</v>
      </c>
      <c r="K326" s="21" t="s">
        <v>1729</v>
      </c>
      <c r="L326" s="22"/>
      <c r="M326" s="23" t="s">
        <v>39</v>
      </c>
      <c r="N326" s="22"/>
      <c r="O326" s="24"/>
      <c r="P326" s="22"/>
      <c r="Q326" s="22"/>
    </row>
    <row r="327" customFormat="false" ht="33.75" hidden="false" customHeight="true" outlineLevel="0" collapsed="false">
      <c r="A327" s="20" t="s">
        <v>1730</v>
      </c>
      <c r="B327" s="21" t="s">
        <v>64</v>
      </c>
      <c r="C327" s="21" t="s">
        <v>1711</v>
      </c>
      <c r="D327" s="21" t="s">
        <v>1731</v>
      </c>
      <c r="E327" s="21" t="s">
        <v>178</v>
      </c>
      <c r="F327" s="20" t="s">
        <v>80</v>
      </c>
      <c r="G327" s="20" t="s">
        <v>136</v>
      </c>
      <c r="H327" s="21" t="s">
        <v>1732</v>
      </c>
      <c r="I327" s="21" t="s">
        <v>1733</v>
      </c>
      <c r="J327" s="21" t="s">
        <v>117</v>
      </c>
      <c r="K327" s="21" t="s">
        <v>1734</v>
      </c>
      <c r="L327" s="22"/>
      <c r="M327" s="23" t="s">
        <v>39</v>
      </c>
      <c r="N327" s="22"/>
      <c r="O327" s="24"/>
      <c r="P327" s="22"/>
      <c r="Q327" s="22"/>
    </row>
    <row r="328" customFormat="false" ht="48" hidden="false" customHeight="true" outlineLevel="0" collapsed="false">
      <c r="A328" s="20" t="s">
        <v>1735</v>
      </c>
      <c r="B328" s="21" t="s">
        <v>64</v>
      </c>
      <c r="C328" s="21" t="s">
        <v>1711</v>
      </c>
      <c r="D328" s="21" t="s">
        <v>1736</v>
      </c>
      <c r="E328" s="21" t="s">
        <v>1737</v>
      </c>
      <c r="F328" s="20" t="s">
        <v>79</v>
      </c>
      <c r="G328" s="20" t="s">
        <v>106</v>
      </c>
      <c r="H328" s="21" t="s">
        <v>1738</v>
      </c>
      <c r="I328" s="21" t="s">
        <v>1739</v>
      </c>
      <c r="J328" s="21" t="s">
        <v>117</v>
      </c>
      <c r="K328" s="21" t="s">
        <v>1740</v>
      </c>
      <c r="L328" s="22"/>
      <c r="M328" s="23" t="s">
        <v>39</v>
      </c>
      <c r="N328" s="22"/>
      <c r="O328" s="24"/>
      <c r="P328" s="22"/>
      <c r="Q328" s="22"/>
    </row>
    <row r="329" customFormat="false" ht="33.75" hidden="false" customHeight="true" outlineLevel="0" collapsed="false">
      <c r="A329" s="20" t="s">
        <v>1741</v>
      </c>
      <c r="B329" s="21" t="s">
        <v>64</v>
      </c>
      <c r="C329" s="21" t="s">
        <v>1711</v>
      </c>
      <c r="D329" s="21" t="s">
        <v>1742</v>
      </c>
      <c r="E329" s="21" t="s">
        <v>178</v>
      </c>
      <c r="F329" s="20" t="s">
        <v>81</v>
      </c>
      <c r="G329" s="20" t="s">
        <v>121</v>
      </c>
      <c r="H329" s="21" t="s">
        <v>1691</v>
      </c>
      <c r="I329" s="21" t="s">
        <v>1743</v>
      </c>
      <c r="J329" s="21" t="s">
        <v>117</v>
      </c>
      <c r="K329" s="21" t="s">
        <v>1744</v>
      </c>
      <c r="L329" s="22"/>
      <c r="M329" s="23" t="s">
        <v>39</v>
      </c>
      <c r="N329" s="22"/>
      <c r="O329" s="24"/>
      <c r="P329" s="22"/>
      <c r="Q329" s="22"/>
    </row>
    <row r="330" customFormat="false" ht="33.75" hidden="false" customHeight="true" outlineLevel="0" collapsed="false">
      <c r="A330" s="20" t="s">
        <v>1745</v>
      </c>
      <c r="B330" s="21" t="s">
        <v>64</v>
      </c>
      <c r="C330" s="21" t="s">
        <v>911</v>
      </c>
      <c r="D330" s="21" t="s">
        <v>1746</v>
      </c>
      <c r="E330" s="21" t="s">
        <v>1449</v>
      </c>
      <c r="F330" s="20" t="s">
        <v>80</v>
      </c>
      <c r="G330" s="20" t="s">
        <v>136</v>
      </c>
      <c r="H330" s="21" t="s">
        <v>1727</v>
      </c>
      <c r="I330" s="21" t="s">
        <v>269</v>
      </c>
      <c r="J330" s="21" t="s">
        <v>117</v>
      </c>
      <c r="K330" s="21" t="s">
        <v>1747</v>
      </c>
      <c r="L330" s="22"/>
      <c r="M330" s="23" t="s">
        <v>39</v>
      </c>
      <c r="N330" s="22"/>
      <c r="O330" s="24"/>
      <c r="P330" s="22"/>
      <c r="Q330" s="22"/>
    </row>
    <row r="331" customFormat="false" ht="33.75" hidden="false" customHeight="true" outlineLevel="0" collapsed="false">
      <c r="A331" s="20" t="s">
        <v>1748</v>
      </c>
      <c r="B331" s="21" t="s">
        <v>64</v>
      </c>
      <c r="C331" s="21" t="s">
        <v>1515</v>
      </c>
      <c r="D331" s="21" t="s">
        <v>1749</v>
      </c>
      <c r="E331" s="21" t="s">
        <v>1750</v>
      </c>
      <c r="F331" s="20" t="s">
        <v>79</v>
      </c>
      <c r="G331" s="20" t="s">
        <v>106</v>
      </c>
      <c r="H331" s="21" t="s">
        <v>1751</v>
      </c>
      <c r="I331" s="21" t="s">
        <v>1752</v>
      </c>
      <c r="J331" s="21" t="s">
        <v>117</v>
      </c>
      <c r="K331" s="21" t="s">
        <v>1753</v>
      </c>
      <c r="L331" s="22"/>
      <c r="M331" s="23" t="s">
        <v>39</v>
      </c>
      <c r="N331" s="22"/>
      <c r="O331" s="24"/>
      <c r="P331" s="22"/>
      <c r="Q331" s="22"/>
    </row>
    <row r="332" customFormat="false" ht="33.75" hidden="false" customHeight="true" outlineLevel="0" collapsed="false">
      <c r="A332" s="20" t="s">
        <v>1754</v>
      </c>
      <c r="B332" s="21" t="s">
        <v>64</v>
      </c>
      <c r="C332" s="21" t="s">
        <v>121</v>
      </c>
      <c r="D332" s="21" t="s">
        <v>1755</v>
      </c>
      <c r="E332" s="21" t="s">
        <v>1756</v>
      </c>
      <c r="F332" s="20" t="s">
        <v>79</v>
      </c>
      <c r="G332" s="20" t="s">
        <v>121</v>
      </c>
      <c r="H332" s="21" t="s">
        <v>1757</v>
      </c>
      <c r="I332" s="21" t="s">
        <v>1758</v>
      </c>
      <c r="J332" s="21" t="s">
        <v>117</v>
      </c>
      <c r="K332" s="21" t="s">
        <v>1759</v>
      </c>
      <c r="L332" s="22"/>
      <c r="M332" s="23" t="s">
        <v>39</v>
      </c>
      <c r="N332" s="22"/>
      <c r="O332" s="24"/>
      <c r="P332" s="22"/>
      <c r="Q332" s="22"/>
    </row>
    <row r="333" customFormat="false" ht="33.75" hidden="false" customHeight="true" outlineLevel="0" collapsed="false">
      <c r="A333" s="20" t="s">
        <v>1760</v>
      </c>
      <c r="B333" s="21" t="s">
        <v>65</v>
      </c>
      <c r="C333" s="21" t="s">
        <v>1761</v>
      </c>
      <c r="D333" s="21" t="s">
        <v>1762</v>
      </c>
      <c r="E333" s="21" t="s">
        <v>178</v>
      </c>
      <c r="F333" s="20" t="s">
        <v>79</v>
      </c>
      <c r="G333" s="20" t="s">
        <v>106</v>
      </c>
      <c r="H333" s="21" t="s">
        <v>1763</v>
      </c>
      <c r="I333" s="21" t="s">
        <v>1764</v>
      </c>
      <c r="J333" s="21" t="s">
        <v>117</v>
      </c>
      <c r="K333" s="21" t="s">
        <v>1765</v>
      </c>
      <c r="L333" s="22"/>
      <c r="M333" s="23" t="s">
        <v>39</v>
      </c>
      <c r="N333" s="22"/>
      <c r="O333" s="24"/>
      <c r="P333" s="22"/>
      <c r="Q333" s="22"/>
    </row>
    <row r="334" customFormat="false" ht="33.75" hidden="false" customHeight="true" outlineLevel="0" collapsed="false">
      <c r="A334" s="20" t="s">
        <v>1766</v>
      </c>
      <c r="B334" s="21" t="s">
        <v>65</v>
      </c>
      <c r="C334" s="21" t="s">
        <v>1761</v>
      </c>
      <c r="D334" s="21" t="s">
        <v>1767</v>
      </c>
      <c r="E334" s="21" t="s">
        <v>178</v>
      </c>
      <c r="F334" s="20" t="s">
        <v>80</v>
      </c>
      <c r="G334" s="20" t="s">
        <v>106</v>
      </c>
      <c r="H334" s="21" t="s">
        <v>1768</v>
      </c>
      <c r="I334" s="21" t="s">
        <v>1769</v>
      </c>
      <c r="J334" s="21" t="s">
        <v>117</v>
      </c>
      <c r="K334" s="21" t="s">
        <v>1770</v>
      </c>
      <c r="L334" s="22"/>
      <c r="M334" s="23" t="s">
        <v>39</v>
      </c>
      <c r="N334" s="22"/>
      <c r="O334" s="24"/>
      <c r="P334" s="22"/>
      <c r="Q334" s="22"/>
    </row>
    <row r="335" customFormat="false" ht="48" hidden="false" customHeight="true" outlineLevel="0" collapsed="false">
      <c r="A335" s="20" t="s">
        <v>1771</v>
      </c>
      <c r="B335" s="21" t="s">
        <v>65</v>
      </c>
      <c r="C335" s="21" t="s">
        <v>1761</v>
      </c>
      <c r="D335" s="21" t="s">
        <v>1772</v>
      </c>
      <c r="E335" s="21" t="s">
        <v>178</v>
      </c>
      <c r="F335" s="20" t="s">
        <v>80</v>
      </c>
      <c r="G335" s="20" t="s">
        <v>136</v>
      </c>
      <c r="H335" s="21" t="s">
        <v>117</v>
      </c>
      <c r="I335" s="21" t="s">
        <v>1773</v>
      </c>
      <c r="J335" s="21" t="s">
        <v>117</v>
      </c>
      <c r="K335" s="21" t="s">
        <v>1774</v>
      </c>
      <c r="L335" s="22"/>
      <c r="M335" s="23" t="s">
        <v>39</v>
      </c>
      <c r="N335" s="22"/>
      <c r="O335" s="24"/>
      <c r="P335" s="22"/>
      <c r="Q335" s="22"/>
    </row>
    <row r="336" customFormat="false" ht="33.75" hidden="false" customHeight="true" outlineLevel="0" collapsed="false">
      <c r="A336" s="20" t="s">
        <v>1775</v>
      </c>
      <c r="B336" s="21" t="s">
        <v>65</v>
      </c>
      <c r="C336" s="21" t="s">
        <v>1761</v>
      </c>
      <c r="D336" s="21" t="s">
        <v>1776</v>
      </c>
      <c r="E336" s="21" t="s">
        <v>178</v>
      </c>
      <c r="F336" s="20" t="s">
        <v>79</v>
      </c>
      <c r="G336" s="20" t="s">
        <v>136</v>
      </c>
      <c r="H336" s="21" t="s">
        <v>1777</v>
      </c>
      <c r="I336" s="21" t="s">
        <v>1778</v>
      </c>
      <c r="J336" s="21" t="s">
        <v>117</v>
      </c>
      <c r="K336" s="21" t="s">
        <v>1779</v>
      </c>
      <c r="L336" s="22"/>
      <c r="M336" s="23" t="s">
        <v>39</v>
      </c>
      <c r="N336" s="22"/>
      <c r="O336" s="24"/>
      <c r="P336" s="22"/>
      <c r="Q336" s="22"/>
    </row>
    <row r="337" customFormat="false" ht="33.75" hidden="false" customHeight="true" outlineLevel="0" collapsed="false">
      <c r="A337" s="20" t="s">
        <v>1780</v>
      </c>
      <c r="B337" s="21" t="s">
        <v>65</v>
      </c>
      <c r="C337" s="21" t="s">
        <v>1761</v>
      </c>
      <c r="D337" s="21" t="s">
        <v>1781</v>
      </c>
      <c r="E337" s="21" t="s">
        <v>178</v>
      </c>
      <c r="F337" s="20" t="s">
        <v>79</v>
      </c>
      <c r="G337" s="20" t="s">
        <v>106</v>
      </c>
      <c r="H337" s="21" t="s">
        <v>1777</v>
      </c>
      <c r="I337" s="21" t="s">
        <v>1782</v>
      </c>
      <c r="J337" s="21" t="s">
        <v>117</v>
      </c>
      <c r="K337" s="21" t="s">
        <v>1783</v>
      </c>
      <c r="L337" s="22"/>
      <c r="M337" s="23" t="s">
        <v>39</v>
      </c>
      <c r="N337" s="22"/>
      <c r="O337" s="24"/>
      <c r="P337" s="22"/>
      <c r="Q337" s="22"/>
    </row>
    <row r="338" customFormat="false" ht="33.75" hidden="false" customHeight="true" outlineLevel="0" collapsed="false">
      <c r="A338" s="20" t="s">
        <v>1784</v>
      </c>
      <c r="B338" s="21" t="s">
        <v>65</v>
      </c>
      <c r="C338" s="21" t="s">
        <v>1761</v>
      </c>
      <c r="D338" s="21" t="s">
        <v>1785</v>
      </c>
      <c r="E338" s="21" t="s">
        <v>178</v>
      </c>
      <c r="F338" s="20" t="s">
        <v>81</v>
      </c>
      <c r="G338" s="20" t="s">
        <v>136</v>
      </c>
      <c r="H338" s="21" t="s">
        <v>1786</v>
      </c>
      <c r="I338" s="21" t="s">
        <v>1787</v>
      </c>
      <c r="J338" s="21" t="s">
        <v>117</v>
      </c>
      <c r="K338" s="21" t="s">
        <v>1788</v>
      </c>
      <c r="L338" s="22"/>
      <c r="M338" s="23" t="s">
        <v>39</v>
      </c>
      <c r="N338" s="22"/>
      <c r="O338" s="24"/>
      <c r="P338" s="22"/>
      <c r="Q338" s="22"/>
    </row>
    <row r="339" customFormat="false" ht="33.75" hidden="false" customHeight="true" outlineLevel="0" collapsed="false">
      <c r="A339" s="20" t="s">
        <v>1789</v>
      </c>
      <c r="B339" s="21" t="s">
        <v>65</v>
      </c>
      <c r="C339" s="21" t="s">
        <v>1761</v>
      </c>
      <c r="D339" s="21" t="s">
        <v>1790</v>
      </c>
      <c r="E339" s="21" t="s">
        <v>178</v>
      </c>
      <c r="F339" s="20" t="s">
        <v>81</v>
      </c>
      <c r="G339" s="20" t="s">
        <v>136</v>
      </c>
      <c r="H339" s="21" t="s">
        <v>1791</v>
      </c>
      <c r="I339" s="21" t="s">
        <v>1792</v>
      </c>
      <c r="J339" s="21" t="s">
        <v>117</v>
      </c>
      <c r="K339" s="21" t="s">
        <v>1793</v>
      </c>
      <c r="L339" s="22"/>
      <c r="M339" s="23" t="s">
        <v>39</v>
      </c>
      <c r="N339" s="22"/>
      <c r="O339" s="24"/>
      <c r="P339" s="22"/>
      <c r="Q339" s="22"/>
    </row>
    <row r="340" customFormat="false" ht="33.75" hidden="false" customHeight="true" outlineLevel="0" collapsed="false">
      <c r="A340" s="20" t="s">
        <v>1794</v>
      </c>
      <c r="B340" s="21" t="s">
        <v>65</v>
      </c>
      <c r="C340" s="21" t="s">
        <v>1761</v>
      </c>
      <c r="D340" s="21" t="s">
        <v>1795</v>
      </c>
      <c r="E340" s="21" t="s">
        <v>1796</v>
      </c>
      <c r="F340" s="20" t="s">
        <v>80</v>
      </c>
      <c r="G340" s="20" t="s">
        <v>121</v>
      </c>
      <c r="H340" s="21" t="s">
        <v>1797</v>
      </c>
      <c r="I340" s="21" t="s">
        <v>1792</v>
      </c>
      <c r="J340" s="21" t="s">
        <v>117</v>
      </c>
      <c r="K340" s="21" t="s">
        <v>1798</v>
      </c>
      <c r="L340" s="22"/>
      <c r="M340" s="23" t="s">
        <v>39</v>
      </c>
      <c r="N340" s="22"/>
      <c r="O340" s="24"/>
      <c r="P340" s="22"/>
      <c r="Q340" s="22"/>
    </row>
    <row r="341" customFormat="false" ht="33.75" hidden="false" customHeight="true" outlineLevel="0" collapsed="false">
      <c r="A341" s="20" t="s">
        <v>1799</v>
      </c>
      <c r="B341" s="21" t="s">
        <v>65</v>
      </c>
      <c r="C341" s="21" t="s">
        <v>1761</v>
      </c>
      <c r="D341" s="21" t="s">
        <v>1800</v>
      </c>
      <c r="E341" s="21" t="s">
        <v>178</v>
      </c>
      <c r="F341" s="20" t="s">
        <v>81</v>
      </c>
      <c r="G341" s="20" t="s">
        <v>136</v>
      </c>
      <c r="H341" s="21" t="s">
        <v>1797</v>
      </c>
      <c r="I341" s="21" t="s">
        <v>1801</v>
      </c>
      <c r="J341" s="21" t="s">
        <v>117</v>
      </c>
      <c r="K341" s="21" t="s">
        <v>1802</v>
      </c>
      <c r="L341" s="22"/>
      <c r="M341" s="23" t="s">
        <v>39</v>
      </c>
      <c r="N341" s="22"/>
      <c r="O341" s="24"/>
      <c r="P341" s="22"/>
      <c r="Q341" s="22"/>
    </row>
    <row r="342" customFormat="false" ht="61.5" hidden="false" customHeight="true" outlineLevel="0" collapsed="false">
      <c r="A342" s="20" t="s">
        <v>1803</v>
      </c>
      <c r="B342" s="21" t="s">
        <v>66</v>
      </c>
      <c r="C342" s="21" t="s">
        <v>1804</v>
      </c>
      <c r="D342" s="21" t="s">
        <v>1805</v>
      </c>
      <c r="E342" s="21" t="s">
        <v>1806</v>
      </c>
      <c r="F342" s="20" t="s">
        <v>79</v>
      </c>
      <c r="G342" s="20" t="s">
        <v>1007</v>
      </c>
      <c r="H342" s="21" t="s">
        <v>1807</v>
      </c>
      <c r="I342" s="21" t="s">
        <v>1808</v>
      </c>
      <c r="J342" s="21" t="s">
        <v>117</v>
      </c>
      <c r="K342" s="21" t="s">
        <v>1809</v>
      </c>
      <c r="L342" s="22"/>
      <c r="M342" s="23" t="s">
        <v>39</v>
      </c>
      <c r="N342" s="22"/>
      <c r="O342" s="24"/>
      <c r="P342" s="22"/>
      <c r="Q342" s="22"/>
    </row>
    <row r="343" customFormat="false" ht="33.75" hidden="false" customHeight="true" outlineLevel="0" collapsed="false">
      <c r="A343" s="20" t="s">
        <v>1810</v>
      </c>
      <c r="B343" s="21" t="s">
        <v>66</v>
      </c>
      <c r="C343" s="21" t="s">
        <v>1804</v>
      </c>
      <c r="D343" s="21" t="s">
        <v>1811</v>
      </c>
      <c r="E343" s="21" t="s">
        <v>1806</v>
      </c>
      <c r="F343" s="20" t="s">
        <v>80</v>
      </c>
      <c r="G343" s="20" t="s">
        <v>106</v>
      </c>
      <c r="H343" s="21" t="s">
        <v>1812</v>
      </c>
      <c r="I343" s="21" t="s">
        <v>1813</v>
      </c>
      <c r="J343" s="21" t="s">
        <v>117</v>
      </c>
      <c r="K343" s="21" t="s">
        <v>1814</v>
      </c>
      <c r="L343" s="22"/>
      <c r="M343" s="23" t="s">
        <v>39</v>
      </c>
      <c r="N343" s="22"/>
      <c r="O343" s="24"/>
      <c r="P343" s="22"/>
      <c r="Q343" s="22"/>
    </row>
    <row r="344" customFormat="false" ht="33.75" hidden="false" customHeight="true" outlineLevel="0" collapsed="false">
      <c r="A344" s="20" t="s">
        <v>1815</v>
      </c>
      <c r="B344" s="21" t="s">
        <v>66</v>
      </c>
      <c r="C344" s="21" t="s">
        <v>1804</v>
      </c>
      <c r="D344" s="21" t="s">
        <v>1816</v>
      </c>
      <c r="E344" s="21" t="s">
        <v>1806</v>
      </c>
      <c r="F344" s="20" t="s">
        <v>80</v>
      </c>
      <c r="G344" s="20" t="s">
        <v>136</v>
      </c>
      <c r="H344" s="21" t="s">
        <v>1817</v>
      </c>
      <c r="I344" s="21" t="s">
        <v>1818</v>
      </c>
      <c r="J344" s="21" t="s">
        <v>117</v>
      </c>
      <c r="K344" s="21" t="s">
        <v>1819</v>
      </c>
      <c r="L344" s="22"/>
      <c r="M344" s="23" t="s">
        <v>39</v>
      </c>
      <c r="N344" s="22"/>
      <c r="O344" s="24"/>
      <c r="P344" s="22"/>
      <c r="Q344" s="22"/>
    </row>
    <row r="345" customFormat="false" ht="33.75" hidden="false" customHeight="true" outlineLevel="0" collapsed="false">
      <c r="A345" s="20" t="s">
        <v>1820</v>
      </c>
      <c r="B345" s="21" t="s">
        <v>66</v>
      </c>
      <c r="C345" s="21" t="s">
        <v>1821</v>
      </c>
      <c r="D345" s="21" t="s">
        <v>1822</v>
      </c>
      <c r="E345" s="21" t="s">
        <v>1806</v>
      </c>
      <c r="F345" s="20" t="s">
        <v>79</v>
      </c>
      <c r="G345" s="20" t="s">
        <v>1007</v>
      </c>
      <c r="H345" s="21" t="s">
        <v>1823</v>
      </c>
      <c r="I345" s="21" t="s">
        <v>1824</v>
      </c>
      <c r="J345" s="21" t="s">
        <v>117</v>
      </c>
      <c r="K345" s="21" t="s">
        <v>1825</v>
      </c>
      <c r="L345" s="22"/>
      <c r="M345" s="23" t="s">
        <v>39</v>
      </c>
      <c r="N345" s="22"/>
      <c r="O345" s="24"/>
      <c r="P345" s="22"/>
      <c r="Q345" s="22"/>
    </row>
    <row r="346" customFormat="false" ht="33.75" hidden="false" customHeight="true" outlineLevel="0" collapsed="false">
      <c r="A346" s="20" t="s">
        <v>1826</v>
      </c>
      <c r="B346" s="21" t="s">
        <v>66</v>
      </c>
      <c r="C346" s="21" t="s">
        <v>1821</v>
      </c>
      <c r="D346" s="21" t="s">
        <v>1827</v>
      </c>
      <c r="E346" s="21" t="s">
        <v>1806</v>
      </c>
      <c r="F346" s="20" t="s">
        <v>81</v>
      </c>
      <c r="G346" s="20" t="s">
        <v>136</v>
      </c>
      <c r="H346" s="21" t="s">
        <v>1828</v>
      </c>
      <c r="I346" s="21" t="s">
        <v>1829</v>
      </c>
      <c r="J346" s="21" t="s">
        <v>117</v>
      </c>
      <c r="K346" s="21" t="s">
        <v>1830</v>
      </c>
      <c r="L346" s="22"/>
      <c r="M346" s="23" t="s">
        <v>39</v>
      </c>
      <c r="N346" s="22"/>
      <c r="O346" s="24"/>
      <c r="P346" s="22"/>
      <c r="Q346" s="22"/>
    </row>
    <row r="347" customFormat="false" ht="33.75" hidden="false" customHeight="true" outlineLevel="0" collapsed="false">
      <c r="A347" s="20" t="s">
        <v>1831</v>
      </c>
      <c r="B347" s="21" t="s">
        <v>66</v>
      </c>
      <c r="C347" s="21" t="s">
        <v>1821</v>
      </c>
      <c r="D347" s="21" t="s">
        <v>1832</v>
      </c>
      <c r="E347" s="21" t="s">
        <v>1806</v>
      </c>
      <c r="F347" s="20" t="s">
        <v>81</v>
      </c>
      <c r="G347" s="20" t="s">
        <v>136</v>
      </c>
      <c r="H347" s="21" t="s">
        <v>1833</v>
      </c>
      <c r="I347" s="21" t="s">
        <v>1834</v>
      </c>
      <c r="J347" s="21" t="s">
        <v>117</v>
      </c>
      <c r="K347" s="21" t="s">
        <v>1835</v>
      </c>
      <c r="L347" s="22"/>
      <c r="M347" s="23" t="s">
        <v>39</v>
      </c>
      <c r="N347" s="22"/>
      <c r="O347" s="24"/>
      <c r="P347" s="22"/>
      <c r="Q347" s="22"/>
    </row>
    <row r="348" customFormat="false" ht="48" hidden="false" customHeight="true" outlineLevel="0" collapsed="false">
      <c r="A348" s="20" t="s">
        <v>1836</v>
      </c>
      <c r="B348" s="21" t="s">
        <v>67</v>
      </c>
      <c r="C348" s="21" t="s">
        <v>1837</v>
      </c>
      <c r="D348" s="21" t="s">
        <v>1838</v>
      </c>
      <c r="E348" s="21" t="s">
        <v>1806</v>
      </c>
      <c r="F348" s="20" t="s">
        <v>79</v>
      </c>
      <c r="G348" s="20" t="s">
        <v>106</v>
      </c>
      <c r="H348" s="21" t="s">
        <v>1839</v>
      </c>
      <c r="I348" s="21" t="s">
        <v>1840</v>
      </c>
      <c r="J348" s="21" t="s">
        <v>117</v>
      </c>
      <c r="K348" s="21" t="s">
        <v>1841</v>
      </c>
      <c r="L348" s="22"/>
      <c r="M348" s="23" t="s">
        <v>39</v>
      </c>
      <c r="N348" s="22"/>
      <c r="O348" s="24"/>
      <c r="P348" s="22"/>
      <c r="Q348" s="22"/>
    </row>
    <row r="349" customFormat="false" ht="33.75" hidden="false" customHeight="true" outlineLevel="0" collapsed="false">
      <c r="A349" s="20" t="s">
        <v>1842</v>
      </c>
      <c r="B349" s="21" t="s">
        <v>67</v>
      </c>
      <c r="C349" s="21" t="s">
        <v>1837</v>
      </c>
      <c r="D349" s="21" t="s">
        <v>1843</v>
      </c>
      <c r="E349" s="21" t="s">
        <v>1806</v>
      </c>
      <c r="F349" s="20" t="s">
        <v>80</v>
      </c>
      <c r="G349" s="20" t="s">
        <v>106</v>
      </c>
      <c r="H349" s="21" t="s">
        <v>1839</v>
      </c>
      <c r="I349" s="21" t="s">
        <v>1844</v>
      </c>
      <c r="J349" s="21" t="s">
        <v>117</v>
      </c>
      <c r="K349" s="21" t="s">
        <v>1845</v>
      </c>
      <c r="L349" s="22"/>
      <c r="M349" s="23" t="s">
        <v>39</v>
      </c>
      <c r="N349" s="22"/>
      <c r="O349" s="24"/>
      <c r="P349" s="22"/>
      <c r="Q349" s="22"/>
    </row>
    <row r="350" customFormat="false" ht="48" hidden="false" customHeight="true" outlineLevel="0" collapsed="false">
      <c r="A350" s="20" t="s">
        <v>1846</v>
      </c>
      <c r="B350" s="21" t="s">
        <v>67</v>
      </c>
      <c r="C350" s="21" t="s">
        <v>1837</v>
      </c>
      <c r="D350" s="21" t="s">
        <v>1847</v>
      </c>
      <c r="E350" s="21" t="s">
        <v>1806</v>
      </c>
      <c r="F350" s="20" t="s">
        <v>79</v>
      </c>
      <c r="G350" s="20" t="s">
        <v>136</v>
      </c>
      <c r="H350" s="21" t="s">
        <v>117</v>
      </c>
      <c r="I350" s="21" t="s">
        <v>1848</v>
      </c>
      <c r="J350" s="21" t="s">
        <v>117</v>
      </c>
      <c r="K350" s="21" t="s">
        <v>1849</v>
      </c>
      <c r="L350" s="22"/>
      <c r="M350" s="23" t="s">
        <v>39</v>
      </c>
      <c r="N350" s="22"/>
      <c r="O350" s="24"/>
      <c r="P350" s="22"/>
      <c r="Q350" s="22"/>
    </row>
    <row r="351" customFormat="false" ht="33.75" hidden="false" customHeight="true" outlineLevel="0" collapsed="false">
      <c r="A351" s="20" t="s">
        <v>1850</v>
      </c>
      <c r="B351" s="21" t="s">
        <v>67</v>
      </c>
      <c r="C351" s="21" t="s">
        <v>1837</v>
      </c>
      <c r="D351" s="21" t="s">
        <v>1851</v>
      </c>
      <c r="E351" s="21" t="s">
        <v>1806</v>
      </c>
      <c r="F351" s="20" t="s">
        <v>81</v>
      </c>
      <c r="G351" s="20" t="s">
        <v>136</v>
      </c>
      <c r="H351" s="21" t="s">
        <v>117</v>
      </c>
      <c r="I351" s="21" t="s">
        <v>1852</v>
      </c>
      <c r="J351" s="21" t="s">
        <v>117</v>
      </c>
      <c r="K351" s="21" t="s">
        <v>1853</v>
      </c>
      <c r="L351" s="22"/>
      <c r="M351" s="23" t="s">
        <v>39</v>
      </c>
      <c r="N351" s="22"/>
      <c r="O351" s="24"/>
      <c r="P351" s="22"/>
      <c r="Q351" s="22"/>
    </row>
    <row r="352" customFormat="false" ht="33.75" hidden="false" customHeight="true" outlineLevel="0" collapsed="false">
      <c r="A352" s="20" t="s">
        <v>1854</v>
      </c>
      <c r="B352" s="21" t="s">
        <v>67</v>
      </c>
      <c r="C352" s="21" t="s">
        <v>1837</v>
      </c>
      <c r="D352" s="21" t="s">
        <v>1855</v>
      </c>
      <c r="E352" s="21" t="s">
        <v>1806</v>
      </c>
      <c r="F352" s="20" t="s">
        <v>79</v>
      </c>
      <c r="G352" s="20" t="s">
        <v>121</v>
      </c>
      <c r="H352" s="21" t="s">
        <v>1856</v>
      </c>
      <c r="I352" s="21" t="s">
        <v>1857</v>
      </c>
      <c r="J352" s="21" t="s">
        <v>117</v>
      </c>
      <c r="K352" s="21" t="s">
        <v>1858</v>
      </c>
      <c r="L352" s="22"/>
      <c r="M352" s="23" t="s">
        <v>39</v>
      </c>
      <c r="N352" s="22"/>
      <c r="O352" s="24"/>
      <c r="P352" s="22"/>
      <c r="Q352" s="22"/>
    </row>
    <row r="353" customFormat="false" ht="48" hidden="false" customHeight="true" outlineLevel="0" collapsed="false">
      <c r="A353" s="20" t="s">
        <v>1859</v>
      </c>
      <c r="B353" s="21" t="s">
        <v>67</v>
      </c>
      <c r="C353" s="21" t="s">
        <v>1837</v>
      </c>
      <c r="D353" s="21" t="s">
        <v>1860</v>
      </c>
      <c r="E353" s="21" t="s">
        <v>1806</v>
      </c>
      <c r="F353" s="20" t="s">
        <v>79</v>
      </c>
      <c r="G353" s="20" t="s">
        <v>121</v>
      </c>
      <c r="H353" s="21" t="s">
        <v>117</v>
      </c>
      <c r="I353" s="21" t="s">
        <v>1861</v>
      </c>
      <c r="J353" s="21" t="s">
        <v>117</v>
      </c>
      <c r="K353" s="21" t="s">
        <v>1862</v>
      </c>
      <c r="L353" s="22"/>
      <c r="M353" s="23" t="s">
        <v>39</v>
      </c>
      <c r="N353" s="22"/>
      <c r="O353" s="24"/>
      <c r="P353" s="22"/>
      <c r="Q353" s="22"/>
    </row>
    <row r="354" customFormat="false" ht="33.75" hidden="false" customHeight="true" outlineLevel="0" collapsed="false">
      <c r="A354" s="20" t="s">
        <v>1863</v>
      </c>
      <c r="B354" s="21" t="s">
        <v>67</v>
      </c>
      <c r="C354" s="21" t="s">
        <v>1837</v>
      </c>
      <c r="D354" s="21" t="s">
        <v>1864</v>
      </c>
      <c r="E354" s="21" t="s">
        <v>190</v>
      </c>
      <c r="F354" s="20" t="s">
        <v>81</v>
      </c>
      <c r="G354" s="20" t="s">
        <v>136</v>
      </c>
      <c r="H354" s="21" t="s">
        <v>1865</v>
      </c>
      <c r="I354" s="21" t="s">
        <v>1866</v>
      </c>
      <c r="J354" s="21" t="s">
        <v>117</v>
      </c>
      <c r="K354" s="21" t="s">
        <v>1867</v>
      </c>
      <c r="L354" s="22"/>
      <c r="M354" s="23" t="s">
        <v>39</v>
      </c>
      <c r="N354" s="22"/>
      <c r="O354" s="24"/>
      <c r="P354" s="22"/>
      <c r="Q354" s="22"/>
    </row>
    <row r="355" customFormat="false" ht="33.75" hidden="false" customHeight="true" outlineLevel="0" collapsed="false">
      <c r="A355" s="20" t="s">
        <v>1868</v>
      </c>
      <c r="B355" s="21" t="s">
        <v>67</v>
      </c>
      <c r="C355" s="21" t="s">
        <v>1837</v>
      </c>
      <c r="D355" s="21" t="s">
        <v>1869</v>
      </c>
      <c r="E355" s="21" t="s">
        <v>1806</v>
      </c>
      <c r="F355" s="20" t="s">
        <v>81</v>
      </c>
      <c r="G355" s="20" t="s">
        <v>136</v>
      </c>
      <c r="H355" s="21" t="s">
        <v>1870</v>
      </c>
      <c r="I355" s="21" t="s">
        <v>1871</v>
      </c>
      <c r="J355" s="21" t="s">
        <v>117</v>
      </c>
      <c r="K355" s="21" t="s">
        <v>1872</v>
      </c>
      <c r="L355" s="22"/>
      <c r="M355" s="23" t="s">
        <v>39</v>
      </c>
      <c r="N355" s="22"/>
      <c r="O355" s="24"/>
      <c r="P355" s="22"/>
      <c r="Q355" s="22"/>
    </row>
    <row r="356" customFormat="false" ht="33.75" hidden="false" customHeight="true" outlineLevel="0" collapsed="false">
      <c r="A356" s="20" t="s">
        <v>1873</v>
      </c>
      <c r="B356" s="21" t="s">
        <v>67</v>
      </c>
      <c r="C356" s="21" t="s">
        <v>1837</v>
      </c>
      <c r="D356" s="21" t="s">
        <v>1874</v>
      </c>
      <c r="E356" s="21" t="s">
        <v>1806</v>
      </c>
      <c r="F356" s="20" t="s">
        <v>81</v>
      </c>
      <c r="G356" s="20" t="s">
        <v>136</v>
      </c>
      <c r="H356" s="21" t="s">
        <v>117</v>
      </c>
      <c r="I356" s="21" t="s">
        <v>1875</v>
      </c>
      <c r="J356" s="21" t="s">
        <v>117</v>
      </c>
      <c r="K356" s="21" t="s">
        <v>1876</v>
      </c>
      <c r="L356" s="22"/>
      <c r="M356" s="23" t="s">
        <v>39</v>
      </c>
      <c r="N356" s="22"/>
      <c r="O356" s="24"/>
      <c r="P356" s="22"/>
      <c r="Q356" s="22"/>
    </row>
    <row r="357" customFormat="false" ht="33.75" hidden="false" customHeight="true" outlineLevel="0" collapsed="false">
      <c r="A357" s="20" t="s">
        <v>1877</v>
      </c>
      <c r="B357" s="21" t="s">
        <v>67</v>
      </c>
      <c r="C357" s="21" t="s">
        <v>1878</v>
      </c>
      <c r="D357" s="21" t="s">
        <v>1879</v>
      </c>
      <c r="E357" s="21" t="s">
        <v>1880</v>
      </c>
      <c r="F357" s="20" t="s">
        <v>79</v>
      </c>
      <c r="G357" s="20" t="s">
        <v>106</v>
      </c>
      <c r="H357" s="21" t="s">
        <v>1881</v>
      </c>
      <c r="I357" s="21" t="s">
        <v>1882</v>
      </c>
      <c r="J357" s="21" t="s">
        <v>117</v>
      </c>
      <c r="K357" s="21" t="s">
        <v>1883</v>
      </c>
      <c r="L357" s="22"/>
      <c r="M357" s="23" t="s">
        <v>39</v>
      </c>
      <c r="N357" s="22"/>
      <c r="O357" s="24"/>
      <c r="P357" s="22"/>
      <c r="Q357" s="22"/>
    </row>
    <row r="358" customFormat="false" ht="33.75" hidden="false" customHeight="true" outlineLevel="0" collapsed="false">
      <c r="A358" s="20" t="s">
        <v>1884</v>
      </c>
      <c r="B358" s="21" t="s">
        <v>67</v>
      </c>
      <c r="C358" s="21" t="s">
        <v>1878</v>
      </c>
      <c r="D358" s="21" t="s">
        <v>1885</v>
      </c>
      <c r="E358" s="21" t="s">
        <v>1880</v>
      </c>
      <c r="F358" s="20" t="s">
        <v>79</v>
      </c>
      <c r="G358" s="20" t="s">
        <v>121</v>
      </c>
      <c r="H358" s="21" t="s">
        <v>1886</v>
      </c>
      <c r="I358" s="21" t="s">
        <v>1887</v>
      </c>
      <c r="J358" s="21" t="s">
        <v>117</v>
      </c>
      <c r="K358" s="21" t="s">
        <v>1888</v>
      </c>
      <c r="L358" s="22"/>
      <c r="M358" s="23" t="s">
        <v>39</v>
      </c>
      <c r="N358" s="22"/>
      <c r="O358" s="24"/>
      <c r="P358" s="22"/>
      <c r="Q358" s="22"/>
    </row>
    <row r="359" customFormat="false" ht="48" hidden="false" customHeight="true" outlineLevel="0" collapsed="false">
      <c r="A359" s="20" t="s">
        <v>1889</v>
      </c>
      <c r="B359" s="21" t="s">
        <v>67</v>
      </c>
      <c r="C359" s="21" t="s">
        <v>1878</v>
      </c>
      <c r="D359" s="21" t="s">
        <v>1890</v>
      </c>
      <c r="E359" s="21" t="s">
        <v>1880</v>
      </c>
      <c r="F359" s="20" t="s">
        <v>80</v>
      </c>
      <c r="G359" s="20" t="s">
        <v>136</v>
      </c>
      <c r="H359" s="21" t="s">
        <v>1891</v>
      </c>
      <c r="I359" s="21" t="s">
        <v>1892</v>
      </c>
      <c r="J359" s="21" t="s">
        <v>117</v>
      </c>
      <c r="K359" s="21" t="s">
        <v>1893</v>
      </c>
      <c r="L359" s="22"/>
      <c r="M359" s="23" t="s">
        <v>39</v>
      </c>
      <c r="N359" s="22"/>
      <c r="O359" s="24"/>
      <c r="P359" s="22"/>
      <c r="Q359" s="22"/>
    </row>
    <row r="360" customFormat="false" ht="48" hidden="false" customHeight="true" outlineLevel="0" collapsed="false">
      <c r="A360" s="20" t="s">
        <v>1894</v>
      </c>
      <c r="B360" s="21" t="s">
        <v>67</v>
      </c>
      <c r="C360" s="21" t="s">
        <v>1895</v>
      </c>
      <c r="D360" s="21" t="s">
        <v>1896</v>
      </c>
      <c r="E360" s="21" t="s">
        <v>1806</v>
      </c>
      <c r="F360" s="20" t="s">
        <v>79</v>
      </c>
      <c r="G360" s="20" t="s">
        <v>106</v>
      </c>
      <c r="H360" s="21" t="s">
        <v>1897</v>
      </c>
      <c r="I360" s="21" t="s">
        <v>1898</v>
      </c>
      <c r="J360" s="21" t="s">
        <v>117</v>
      </c>
      <c r="K360" s="21" t="s">
        <v>1899</v>
      </c>
      <c r="L360" s="22"/>
      <c r="M360" s="23" t="s">
        <v>39</v>
      </c>
      <c r="N360" s="22"/>
      <c r="O360" s="24"/>
      <c r="P360" s="22"/>
      <c r="Q360" s="22"/>
    </row>
    <row r="361" customFormat="false" ht="33.75" hidden="false" customHeight="true" outlineLevel="0" collapsed="false">
      <c r="A361" s="20" t="s">
        <v>1900</v>
      </c>
      <c r="B361" s="21" t="s">
        <v>67</v>
      </c>
      <c r="C361" s="21" t="s">
        <v>1895</v>
      </c>
      <c r="D361" s="21" t="s">
        <v>1901</v>
      </c>
      <c r="E361" s="21" t="s">
        <v>105</v>
      </c>
      <c r="F361" s="20" t="s">
        <v>80</v>
      </c>
      <c r="G361" s="20" t="s">
        <v>121</v>
      </c>
      <c r="H361" s="21" t="s">
        <v>117</v>
      </c>
      <c r="I361" s="21" t="s">
        <v>1902</v>
      </c>
      <c r="J361" s="21" t="s">
        <v>117</v>
      </c>
      <c r="K361" s="21" t="s">
        <v>1903</v>
      </c>
      <c r="L361" s="22"/>
      <c r="M361" s="23" t="s">
        <v>39</v>
      </c>
      <c r="N361" s="22"/>
      <c r="O361" s="24"/>
      <c r="P361" s="22"/>
      <c r="Q361" s="22"/>
    </row>
    <row r="362" customFormat="false" ht="48" hidden="false" customHeight="true" outlineLevel="0" collapsed="false">
      <c r="A362" s="20" t="s">
        <v>1904</v>
      </c>
      <c r="B362" s="21" t="s">
        <v>67</v>
      </c>
      <c r="C362" s="21" t="s">
        <v>1895</v>
      </c>
      <c r="D362" s="21" t="s">
        <v>1905</v>
      </c>
      <c r="E362" s="21" t="s">
        <v>1806</v>
      </c>
      <c r="F362" s="20" t="s">
        <v>79</v>
      </c>
      <c r="G362" s="20" t="s">
        <v>106</v>
      </c>
      <c r="H362" s="21" t="s">
        <v>1906</v>
      </c>
      <c r="I362" s="21" t="s">
        <v>1907</v>
      </c>
      <c r="J362" s="21" t="s">
        <v>117</v>
      </c>
      <c r="K362" s="21" t="s">
        <v>1908</v>
      </c>
      <c r="L362" s="22"/>
      <c r="M362" s="23" t="s">
        <v>39</v>
      </c>
      <c r="N362" s="22"/>
      <c r="O362" s="24"/>
      <c r="P362" s="22"/>
      <c r="Q362" s="22"/>
    </row>
    <row r="363" customFormat="false" ht="33.75" hidden="false" customHeight="true" outlineLevel="0" collapsed="false">
      <c r="A363" s="20" t="s">
        <v>1909</v>
      </c>
      <c r="B363" s="21" t="s">
        <v>67</v>
      </c>
      <c r="C363" s="21" t="s">
        <v>1895</v>
      </c>
      <c r="D363" s="21" t="s">
        <v>1910</v>
      </c>
      <c r="E363" s="21" t="s">
        <v>1806</v>
      </c>
      <c r="F363" s="20" t="s">
        <v>80</v>
      </c>
      <c r="G363" s="20" t="s">
        <v>136</v>
      </c>
      <c r="H363" s="21" t="s">
        <v>1911</v>
      </c>
      <c r="I363" s="21" t="s">
        <v>1912</v>
      </c>
      <c r="J363" s="21" t="s">
        <v>117</v>
      </c>
      <c r="K363" s="21" t="s">
        <v>1913</v>
      </c>
      <c r="L363" s="22"/>
      <c r="M363" s="23" t="s">
        <v>39</v>
      </c>
      <c r="N363" s="22"/>
      <c r="O363" s="24"/>
      <c r="P363" s="22"/>
      <c r="Q363" s="22"/>
    </row>
    <row r="364" customFormat="false" ht="33.75" hidden="false" customHeight="true" outlineLevel="0" collapsed="false">
      <c r="A364" s="20" t="s">
        <v>1914</v>
      </c>
      <c r="B364" s="21" t="s">
        <v>67</v>
      </c>
      <c r="C364" s="21" t="s">
        <v>1895</v>
      </c>
      <c r="D364" s="21" t="s">
        <v>1915</v>
      </c>
      <c r="E364" s="21" t="s">
        <v>1806</v>
      </c>
      <c r="F364" s="20" t="s">
        <v>80</v>
      </c>
      <c r="G364" s="20" t="s">
        <v>121</v>
      </c>
      <c r="H364" s="21" t="s">
        <v>1916</v>
      </c>
      <c r="I364" s="21" t="s">
        <v>1917</v>
      </c>
      <c r="J364" s="21" t="s">
        <v>117</v>
      </c>
      <c r="K364" s="21" t="s">
        <v>1918</v>
      </c>
      <c r="L364" s="22"/>
      <c r="M364" s="23" t="s">
        <v>39</v>
      </c>
      <c r="N364" s="22"/>
      <c r="O364" s="24"/>
      <c r="P364" s="22"/>
      <c r="Q364" s="22"/>
    </row>
    <row r="365" customFormat="false" ht="33.75" hidden="false" customHeight="true" outlineLevel="0" collapsed="false">
      <c r="A365" s="20" t="s">
        <v>1919</v>
      </c>
      <c r="B365" s="21" t="s">
        <v>67</v>
      </c>
      <c r="C365" s="21" t="s">
        <v>1895</v>
      </c>
      <c r="D365" s="21" t="s">
        <v>1920</v>
      </c>
      <c r="E365" s="21" t="s">
        <v>105</v>
      </c>
      <c r="F365" s="20" t="s">
        <v>81</v>
      </c>
      <c r="G365" s="20" t="s">
        <v>136</v>
      </c>
      <c r="H365" s="21" t="s">
        <v>117</v>
      </c>
      <c r="I365" s="21" t="s">
        <v>1921</v>
      </c>
      <c r="J365" s="21" t="s">
        <v>117</v>
      </c>
      <c r="K365" s="21" t="s">
        <v>1922</v>
      </c>
      <c r="L365" s="22"/>
      <c r="M365" s="23" t="s">
        <v>39</v>
      </c>
      <c r="N365" s="22"/>
      <c r="O365" s="24"/>
      <c r="P365" s="22"/>
      <c r="Q365" s="22"/>
    </row>
    <row r="366" customFormat="false" ht="33.75" hidden="false" customHeight="true" outlineLevel="0" collapsed="false">
      <c r="A366" s="20" t="s">
        <v>1923</v>
      </c>
      <c r="B366" s="21" t="s">
        <v>67</v>
      </c>
      <c r="C366" s="21" t="s">
        <v>1804</v>
      </c>
      <c r="D366" s="21" t="s">
        <v>1924</v>
      </c>
      <c r="E366" s="21" t="s">
        <v>1806</v>
      </c>
      <c r="F366" s="20" t="s">
        <v>79</v>
      </c>
      <c r="G366" s="20" t="s">
        <v>106</v>
      </c>
      <c r="H366" s="21" t="s">
        <v>1812</v>
      </c>
      <c r="I366" s="21" t="s">
        <v>1925</v>
      </c>
      <c r="J366" s="21" t="s">
        <v>117</v>
      </c>
      <c r="K366" s="21" t="s">
        <v>1926</v>
      </c>
      <c r="L366" s="22"/>
      <c r="M366" s="23" t="s">
        <v>39</v>
      </c>
      <c r="N366" s="22"/>
      <c r="O366" s="24"/>
      <c r="P366" s="22"/>
      <c r="Q366" s="22"/>
    </row>
    <row r="367" customFormat="false" ht="33.75" hidden="false" customHeight="true" outlineLevel="0" collapsed="false">
      <c r="A367" s="20" t="s">
        <v>1927</v>
      </c>
      <c r="B367" s="21" t="s">
        <v>67</v>
      </c>
      <c r="C367" s="21" t="s">
        <v>1804</v>
      </c>
      <c r="D367" s="21" t="s">
        <v>1928</v>
      </c>
      <c r="E367" s="21" t="s">
        <v>1806</v>
      </c>
      <c r="F367" s="20" t="s">
        <v>80</v>
      </c>
      <c r="G367" s="20" t="s">
        <v>121</v>
      </c>
      <c r="H367" s="21" t="s">
        <v>1929</v>
      </c>
      <c r="I367" s="21" t="s">
        <v>1930</v>
      </c>
      <c r="J367" s="21" t="s">
        <v>117</v>
      </c>
      <c r="K367" s="21" t="s">
        <v>1931</v>
      </c>
      <c r="L367" s="22"/>
      <c r="M367" s="23" t="s">
        <v>39</v>
      </c>
      <c r="N367" s="22"/>
      <c r="O367" s="24"/>
      <c r="P367" s="22"/>
      <c r="Q367" s="22"/>
    </row>
    <row r="368" customFormat="false" ht="33.75" hidden="false" customHeight="true" outlineLevel="0" collapsed="false">
      <c r="A368" s="20" t="s">
        <v>1932</v>
      </c>
      <c r="B368" s="21" t="s">
        <v>67</v>
      </c>
      <c r="C368" s="21" t="s">
        <v>1804</v>
      </c>
      <c r="D368" s="21" t="s">
        <v>1933</v>
      </c>
      <c r="E368" s="21" t="s">
        <v>1806</v>
      </c>
      <c r="F368" s="20" t="s">
        <v>81</v>
      </c>
      <c r="G368" s="20" t="s">
        <v>136</v>
      </c>
      <c r="H368" s="21" t="s">
        <v>117</v>
      </c>
      <c r="I368" s="21" t="s">
        <v>1934</v>
      </c>
      <c r="J368" s="21" t="s">
        <v>117</v>
      </c>
      <c r="K368" s="21" t="s">
        <v>1935</v>
      </c>
      <c r="L368" s="22"/>
      <c r="M368" s="23" t="s">
        <v>39</v>
      </c>
      <c r="N368" s="22"/>
      <c r="O368" s="24"/>
      <c r="P368" s="22"/>
      <c r="Q368" s="22"/>
    </row>
    <row r="369" customFormat="false" ht="33.75" hidden="false" customHeight="true" outlineLevel="0" collapsed="false">
      <c r="A369" s="20" t="s">
        <v>1936</v>
      </c>
      <c r="B369" s="21" t="s">
        <v>67</v>
      </c>
      <c r="C369" s="21" t="s">
        <v>1804</v>
      </c>
      <c r="D369" s="21" t="s">
        <v>1937</v>
      </c>
      <c r="E369" s="21" t="s">
        <v>1806</v>
      </c>
      <c r="F369" s="20" t="s">
        <v>81</v>
      </c>
      <c r="G369" s="20" t="s">
        <v>136</v>
      </c>
      <c r="H369" s="21" t="s">
        <v>117</v>
      </c>
      <c r="I369" s="21" t="s">
        <v>1938</v>
      </c>
      <c r="J369" s="21" t="s">
        <v>117</v>
      </c>
      <c r="K369" s="21" t="s">
        <v>1939</v>
      </c>
      <c r="L369" s="22"/>
      <c r="M369" s="23" t="s">
        <v>39</v>
      </c>
      <c r="N369" s="22"/>
      <c r="O369" s="24"/>
      <c r="P369" s="22"/>
      <c r="Q369" s="22"/>
    </row>
    <row r="370" customFormat="false" ht="33.75" hidden="false" customHeight="true" outlineLevel="0" collapsed="false">
      <c r="A370" s="20" t="s">
        <v>1940</v>
      </c>
      <c r="B370" s="21" t="s">
        <v>67</v>
      </c>
      <c r="C370" s="21" t="s">
        <v>1804</v>
      </c>
      <c r="D370" s="21" t="s">
        <v>1941</v>
      </c>
      <c r="E370" s="21" t="s">
        <v>1806</v>
      </c>
      <c r="F370" s="20" t="s">
        <v>80</v>
      </c>
      <c r="G370" s="20" t="s">
        <v>121</v>
      </c>
      <c r="H370" s="21" t="s">
        <v>1942</v>
      </c>
      <c r="I370" s="21" t="s">
        <v>1943</v>
      </c>
      <c r="J370" s="21" t="s">
        <v>117</v>
      </c>
      <c r="K370" s="21" t="s">
        <v>1944</v>
      </c>
      <c r="L370" s="22"/>
      <c r="M370" s="23" t="s">
        <v>39</v>
      </c>
      <c r="N370" s="22"/>
      <c r="O370" s="24"/>
      <c r="P370" s="22"/>
      <c r="Q370" s="22"/>
    </row>
    <row r="371" customFormat="false" ht="33.75" hidden="false" customHeight="true" outlineLevel="0" collapsed="false">
      <c r="A371" s="20" t="s">
        <v>1945</v>
      </c>
      <c r="B371" s="21" t="s">
        <v>67</v>
      </c>
      <c r="C371" s="21" t="s">
        <v>1946</v>
      </c>
      <c r="D371" s="21" t="s">
        <v>1947</v>
      </c>
      <c r="E371" s="21" t="s">
        <v>190</v>
      </c>
      <c r="F371" s="20" t="s">
        <v>80</v>
      </c>
      <c r="G371" s="20" t="s">
        <v>106</v>
      </c>
      <c r="H371" s="21" t="s">
        <v>1948</v>
      </c>
      <c r="I371" s="21" t="s">
        <v>1857</v>
      </c>
      <c r="J371" s="21" t="s">
        <v>117</v>
      </c>
      <c r="K371" s="21" t="s">
        <v>1949</v>
      </c>
      <c r="L371" s="22"/>
      <c r="M371" s="23" t="s">
        <v>39</v>
      </c>
      <c r="N371" s="22"/>
      <c r="O371" s="24"/>
      <c r="P371" s="22"/>
      <c r="Q371" s="22"/>
    </row>
    <row r="372" customFormat="false" ht="48" hidden="false" customHeight="true" outlineLevel="0" collapsed="false">
      <c r="A372" s="20" t="s">
        <v>1950</v>
      </c>
      <c r="B372" s="21" t="s">
        <v>68</v>
      </c>
      <c r="C372" s="21" t="s">
        <v>286</v>
      </c>
      <c r="D372" s="21" t="s">
        <v>1951</v>
      </c>
      <c r="E372" s="21" t="s">
        <v>459</v>
      </c>
      <c r="F372" s="20" t="s">
        <v>79</v>
      </c>
      <c r="G372" s="20" t="s">
        <v>106</v>
      </c>
      <c r="H372" s="21" t="s">
        <v>117</v>
      </c>
      <c r="I372" s="21" t="s">
        <v>1952</v>
      </c>
      <c r="J372" s="21" t="s">
        <v>117</v>
      </c>
      <c r="K372" s="21" t="s">
        <v>1953</v>
      </c>
      <c r="L372" s="22"/>
      <c r="M372" s="23" t="s">
        <v>39</v>
      </c>
      <c r="N372" s="22"/>
      <c r="O372" s="24"/>
      <c r="P372" s="22"/>
      <c r="Q372" s="22"/>
    </row>
    <row r="373" customFormat="false" ht="33.75" hidden="false" customHeight="true" outlineLevel="0" collapsed="false">
      <c r="A373" s="20" t="s">
        <v>1954</v>
      </c>
      <c r="B373" s="21" t="s">
        <v>68</v>
      </c>
      <c r="C373" s="21" t="s">
        <v>286</v>
      </c>
      <c r="D373" s="21" t="s">
        <v>1955</v>
      </c>
      <c r="E373" s="21" t="s">
        <v>459</v>
      </c>
      <c r="F373" s="20" t="s">
        <v>79</v>
      </c>
      <c r="G373" s="20" t="s">
        <v>136</v>
      </c>
      <c r="H373" s="21" t="s">
        <v>117</v>
      </c>
      <c r="I373" s="21" t="s">
        <v>1956</v>
      </c>
      <c r="J373" s="21" t="s">
        <v>117</v>
      </c>
      <c r="K373" s="21" t="s">
        <v>1957</v>
      </c>
      <c r="L373" s="22"/>
      <c r="M373" s="23" t="s">
        <v>39</v>
      </c>
      <c r="N373" s="22"/>
      <c r="O373" s="24"/>
      <c r="P373" s="22"/>
      <c r="Q373" s="22"/>
    </row>
    <row r="374" customFormat="false" ht="33.75" hidden="false" customHeight="true" outlineLevel="0" collapsed="false">
      <c r="A374" s="20" t="s">
        <v>1958</v>
      </c>
      <c r="B374" s="21" t="s">
        <v>68</v>
      </c>
      <c r="C374" s="21" t="s">
        <v>286</v>
      </c>
      <c r="D374" s="21" t="s">
        <v>1959</v>
      </c>
      <c r="E374" s="21" t="s">
        <v>459</v>
      </c>
      <c r="F374" s="20" t="s">
        <v>79</v>
      </c>
      <c r="G374" s="20" t="s">
        <v>106</v>
      </c>
      <c r="H374" s="21" t="s">
        <v>117</v>
      </c>
      <c r="I374" s="21" t="s">
        <v>1960</v>
      </c>
      <c r="J374" s="21" t="s">
        <v>117</v>
      </c>
      <c r="K374" s="21" t="s">
        <v>1961</v>
      </c>
      <c r="L374" s="22"/>
      <c r="M374" s="23" t="s">
        <v>39</v>
      </c>
      <c r="N374" s="22"/>
      <c r="O374" s="24"/>
      <c r="P374" s="22"/>
      <c r="Q374" s="22"/>
    </row>
    <row r="375" customFormat="false" ht="33.75" hidden="false" customHeight="true" outlineLevel="0" collapsed="false">
      <c r="A375" s="20" t="s">
        <v>1962</v>
      </c>
      <c r="B375" s="21" t="s">
        <v>68</v>
      </c>
      <c r="C375" s="21" t="s">
        <v>286</v>
      </c>
      <c r="D375" s="21" t="s">
        <v>1963</v>
      </c>
      <c r="E375" s="21" t="s">
        <v>459</v>
      </c>
      <c r="F375" s="20" t="s">
        <v>80</v>
      </c>
      <c r="G375" s="20" t="s">
        <v>136</v>
      </c>
      <c r="H375" s="21" t="s">
        <v>117</v>
      </c>
      <c r="I375" s="21" t="s">
        <v>1964</v>
      </c>
      <c r="J375" s="21" t="s">
        <v>117</v>
      </c>
      <c r="K375" s="21" t="s">
        <v>1965</v>
      </c>
      <c r="L375" s="22"/>
      <c r="M375" s="23" t="s">
        <v>39</v>
      </c>
      <c r="N375" s="22"/>
      <c r="O375" s="24"/>
      <c r="P375" s="22"/>
      <c r="Q375" s="22"/>
    </row>
    <row r="376" customFormat="false" ht="33.75" hidden="false" customHeight="true" outlineLevel="0" collapsed="false">
      <c r="A376" s="20" t="s">
        <v>1966</v>
      </c>
      <c r="B376" s="21" t="s">
        <v>68</v>
      </c>
      <c r="C376" s="21" t="s">
        <v>286</v>
      </c>
      <c r="D376" s="21" t="s">
        <v>1967</v>
      </c>
      <c r="E376" s="21" t="s">
        <v>459</v>
      </c>
      <c r="F376" s="20" t="s">
        <v>80</v>
      </c>
      <c r="G376" s="20" t="s">
        <v>121</v>
      </c>
      <c r="H376" s="21" t="s">
        <v>117</v>
      </c>
      <c r="I376" s="21" t="s">
        <v>1968</v>
      </c>
      <c r="J376" s="21" t="s">
        <v>117</v>
      </c>
      <c r="K376" s="21" t="s">
        <v>1969</v>
      </c>
      <c r="L376" s="22"/>
      <c r="M376" s="23" t="s">
        <v>39</v>
      </c>
      <c r="N376" s="22"/>
      <c r="O376" s="24"/>
      <c r="P376" s="22"/>
      <c r="Q376" s="22"/>
    </row>
    <row r="377" customFormat="false" ht="33.75" hidden="false" customHeight="true" outlineLevel="0" collapsed="false">
      <c r="A377" s="20" t="s">
        <v>1970</v>
      </c>
      <c r="B377" s="21" t="s">
        <v>68</v>
      </c>
      <c r="C377" s="21" t="s">
        <v>286</v>
      </c>
      <c r="D377" s="21" t="s">
        <v>1971</v>
      </c>
      <c r="E377" s="21" t="s">
        <v>459</v>
      </c>
      <c r="F377" s="20" t="s">
        <v>80</v>
      </c>
      <c r="G377" s="20" t="s">
        <v>136</v>
      </c>
      <c r="H377" s="21" t="s">
        <v>1972</v>
      </c>
      <c r="I377" s="21" t="s">
        <v>1973</v>
      </c>
      <c r="J377" s="21" t="s">
        <v>117</v>
      </c>
      <c r="K377" s="21" t="s">
        <v>1974</v>
      </c>
      <c r="L377" s="22"/>
      <c r="M377" s="23" t="s">
        <v>39</v>
      </c>
      <c r="N377" s="22"/>
      <c r="O377" s="24"/>
      <c r="P377" s="22"/>
      <c r="Q377" s="22"/>
    </row>
    <row r="378" customFormat="false" ht="33.75" hidden="false" customHeight="true" outlineLevel="0" collapsed="false">
      <c r="A378" s="20" t="s">
        <v>1975</v>
      </c>
      <c r="B378" s="21" t="s">
        <v>68</v>
      </c>
      <c r="C378" s="21" t="s">
        <v>286</v>
      </c>
      <c r="D378" s="21" t="s">
        <v>1976</v>
      </c>
      <c r="E378" s="21" t="s">
        <v>459</v>
      </c>
      <c r="F378" s="20" t="s">
        <v>81</v>
      </c>
      <c r="G378" s="20" t="s">
        <v>106</v>
      </c>
      <c r="H378" s="21" t="s">
        <v>1977</v>
      </c>
      <c r="I378" s="21" t="s">
        <v>1978</v>
      </c>
      <c r="J378" s="21" t="s">
        <v>117</v>
      </c>
      <c r="K378" s="21" t="s">
        <v>1979</v>
      </c>
      <c r="L378" s="22"/>
      <c r="M378" s="23" t="s">
        <v>39</v>
      </c>
      <c r="N378" s="22"/>
      <c r="O378" s="24"/>
      <c r="P378" s="22"/>
      <c r="Q378" s="22"/>
    </row>
    <row r="379" customFormat="false" ht="33.75" hidden="false" customHeight="true" outlineLevel="0" collapsed="false">
      <c r="A379" s="20" t="s">
        <v>1980</v>
      </c>
      <c r="B379" s="21" t="s">
        <v>68</v>
      </c>
      <c r="C379" s="21" t="s">
        <v>286</v>
      </c>
      <c r="D379" s="21" t="s">
        <v>1981</v>
      </c>
      <c r="E379" s="21" t="s">
        <v>459</v>
      </c>
      <c r="F379" s="20" t="s">
        <v>81</v>
      </c>
      <c r="G379" s="20" t="s">
        <v>136</v>
      </c>
      <c r="H379" s="21" t="s">
        <v>117</v>
      </c>
      <c r="I379" s="21" t="s">
        <v>1982</v>
      </c>
      <c r="J379" s="21" t="s">
        <v>117</v>
      </c>
      <c r="K379" s="21" t="s">
        <v>1983</v>
      </c>
      <c r="L379" s="22"/>
      <c r="M379" s="23" t="s">
        <v>39</v>
      </c>
      <c r="N379" s="22"/>
      <c r="O379" s="24"/>
      <c r="P379" s="22"/>
      <c r="Q379" s="22"/>
    </row>
    <row r="380" customFormat="false" ht="33.75" hidden="false" customHeight="true" outlineLevel="0" collapsed="false">
      <c r="A380" s="20" t="s">
        <v>1984</v>
      </c>
      <c r="B380" s="21" t="s">
        <v>68</v>
      </c>
      <c r="C380" s="21" t="s">
        <v>334</v>
      </c>
      <c r="D380" s="21" t="s">
        <v>1985</v>
      </c>
      <c r="E380" s="21" t="s">
        <v>459</v>
      </c>
      <c r="F380" s="20" t="s">
        <v>80</v>
      </c>
      <c r="G380" s="20" t="s">
        <v>106</v>
      </c>
      <c r="H380" s="21" t="s">
        <v>117</v>
      </c>
      <c r="I380" s="21" t="s">
        <v>1986</v>
      </c>
      <c r="J380" s="21" t="s">
        <v>117</v>
      </c>
      <c r="K380" s="21" t="s">
        <v>1987</v>
      </c>
      <c r="L380" s="22"/>
      <c r="M380" s="23" t="s">
        <v>39</v>
      </c>
      <c r="N380" s="22"/>
      <c r="O380" s="24"/>
      <c r="P380" s="22"/>
      <c r="Q380" s="22"/>
    </row>
    <row r="381" customFormat="false" ht="33.75" hidden="false" customHeight="true" outlineLevel="0" collapsed="false">
      <c r="A381" s="20" t="s">
        <v>1988</v>
      </c>
      <c r="B381" s="21" t="s">
        <v>68</v>
      </c>
      <c r="C381" s="21" t="s">
        <v>1989</v>
      </c>
      <c r="D381" s="21" t="s">
        <v>1990</v>
      </c>
      <c r="E381" s="21" t="s">
        <v>459</v>
      </c>
      <c r="F381" s="20" t="s">
        <v>79</v>
      </c>
      <c r="G381" s="20" t="s">
        <v>106</v>
      </c>
      <c r="H381" s="21" t="s">
        <v>117</v>
      </c>
      <c r="I381" s="21" t="s">
        <v>1991</v>
      </c>
      <c r="J381" s="21" t="s">
        <v>117</v>
      </c>
      <c r="K381" s="21" t="s">
        <v>1992</v>
      </c>
      <c r="L381" s="22"/>
      <c r="M381" s="23" t="s">
        <v>39</v>
      </c>
      <c r="N381" s="22"/>
      <c r="O381" s="24"/>
      <c r="P381" s="22"/>
      <c r="Q381" s="22"/>
    </row>
    <row r="382" customFormat="false" ht="33.75" hidden="false" customHeight="true" outlineLevel="0" collapsed="false">
      <c r="A382" s="20" t="s">
        <v>1993</v>
      </c>
      <c r="B382" s="21" t="s">
        <v>68</v>
      </c>
      <c r="C382" s="21" t="s">
        <v>1989</v>
      </c>
      <c r="D382" s="21" t="s">
        <v>1994</v>
      </c>
      <c r="E382" s="21" t="s">
        <v>459</v>
      </c>
      <c r="F382" s="20" t="s">
        <v>80</v>
      </c>
      <c r="G382" s="20" t="s">
        <v>136</v>
      </c>
      <c r="H382" s="21" t="s">
        <v>1995</v>
      </c>
      <c r="I382" s="21" t="s">
        <v>1996</v>
      </c>
      <c r="J382" s="21" t="s">
        <v>117</v>
      </c>
      <c r="K382" s="21" t="s">
        <v>1997</v>
      </c>
      <c r="L382" s="22"/>
      <c r="M382" s="23" t="s">
        <v>39</v>
      </c>
      <c r="N382" s="22"/>
      <c r="O382" s="24"/>
      <c r="P382" s="22"/>
      <c r="Q382" s="22"/>
    </row>
    <row r="383" customFormat="false" ht="33.75" hidden="false" customHeight="true" outlineLevel="0" collapsed="false">
      <c r="A383" s="20" t="s">
        <v>1998</v>
      </c>
      <c r="B383" s="21" t="s">
        <v>68</v>
      </c>
      <c r="C383" s="21" t="s">
        <v>1999</v>
      </c>
      <c r="D383" s="21" t="s">
        <v>2000</v>
      </c>
      <c r="E383" s="21" t="s">
        <v>459</v>
      </c>
      <c r="F383" s="20" t="s">
        <v>79</v>
      </c>
      <c r="G383" s="20" t="s">
        <v>106</v>
      </c>
      <c r="H383" s="21" t="s">
        <v>117</v>
      </c>
      <c r="I383" s="21" t="s">
        <v>2001</v>
      </c>
      <c r="J383" s="21" t="s">
        <v>117</v>
      </c>
      <c r="K383" s="21" t="s">
        <v>2002</v>
      </c>
      <c r="L383" s="22"/>
      <c r="M383" s="23" t="s">
        <v>39</v>
      </c>
      <c r="N383" s="22"/>
      <c r="O383" s="24"/>
      <c r="P383" s="22"/>
      <c r="Q383" s="22"/>
    </row>
    <row r="384" customFormat="false" ht="33.75" hidden="false" customHeight="true" outlineLevel="0" collapsed="false">
      <c r="A384" s="20" t="s">
        <v>2003</v>
      </c>
      <c r="B384" s="21" t="s">
        <v>68</v>
      </c>
      <c r="C384" s="21" t="s">
        <v>350</v>
      </c>
      <c r="D384" s="21" t="s">
        <v>2004</v>
      </c>
      <c r="E384" s="21" t="s">
        <v>459</v>
      </c>
      <c r="F384" s="20" t="s">
        <v>81</v>
      </c>
      <c r="G384" s="20" t="s">
        <v>136</v>
      </c>
      <c r="H384" s="21" t="s">
        <v>117</v>
      </c>
      <c r="I384" s="21" t="s">
        <v>2005</v>
      </c>
      <c r="J384" s="21" t="s">
        <v>117</v>
      </c>
      <c r="K384" s="21" t="s">
        <v>2006</v>
      </c>
      <c r="L384" s="22"/>
      <c r="M384" s="23" t="s">
        <v>39</v>
      </c>
      <c r="N384" s="22"/>
      <c r="O384" s="24"/>
      <c r="P384" s="22"/>
      <c r="Q384" s="22"/>
    </row>
    <row r="385" customFormat="false" ht="33.75" hidden="false" customHeight="true" outlineLevel="0" collapsed="false">
      <c r="A385" s="20" t="s">
        <v>2007</v>
      </c>
      <c r="B385" s="21" t="s">
        <v>68</v>
      </c>
      <c r="C385" s="21" t="s">
        <v>2008</v>
      </c>
      <c r="D385" s="21" t="s">
        <v>2009</v>
      </c>
      <c r="E385" s="21" t="s">
        <v>459</v>
      </c>
      <c r="F385" s="20" t="s">
        <v>81</v>
      </c>
      <c r="G385" s="20" t="s">
        <v>106</v>
      </c>
      <c r="H385" s="21" t="s">
        <v>117</v>
      </c>
      <c r="I385" s="21" t="s">
        <v>2010</v>
      </c>
      <c r="J385" s="21" t="s">
        <v>117</v>
      </c>
      <c r="K385" s="21" t="s">
        <v>2011</v>
      </c>
      <c r="L385" s="22"/>
      <c r="M385" s="23" t="s">
        <v>39</v>
      </c>
      <c r="N385" s="22"/>
      <c r="O385" s="24"/>
      <c r="P385" s="22"/>
      <c r="Q385" s="22"/>
    </row>
    <row r="386" customFormat="false" ht="33.75" hidden="false" customHeight="true" outlineLevel="0" collapsed="false">
      <c r="A386" s="20" t="s">
        <v>2012</v>
      </c>
      <c r="B386" s="21" t="s">
        <v>68</v>
      </c>
      <c r="C386" s="21" t="s">
        <v>2008</v>
      </c>
      <c r="D386" s="21" t="s">
        <v>2013</v>
      </c>
      <c r="E386" s="21" t="s">
        <v>459</v>
      </c>
      <c r="F386" s="20" t="s">
        <v>81</v>
      </c>
      <c r="G386" s="20" t="s">
        <v>136</v>
      </c>
      <c r="H386" s="21" t="s">
        <v>2014</v>
      </c>
      <c r="I386" s="21" t="s">
        <v>2015</v>
      </c>
      <c r="J386" s="21" t="s">
        <v>117</v>
      </c>
      <c r="K386" s="21" t="s">
        <v>2016</v>
      </c>
      <c r="L386" s="22"/>
      <c r="M386" s="23" t="s">
        <v>39</v>
      </c>
      <c r="N386" s="22"/>
      <c r="O386" s="24"/>
      <c r="P386" s="22"/>
      <c r="Q386" s="22"/>
    </row>
    <row r="387" customFormat="false" ht="48" hidden="false" customHeight="true" outlineLevel="0" collapsed="false">
      <c r="A387" s="20" t="s">
        <v>2017</v>
      </c>
      <c r="B387" s="21" t="s">
        <v>68</v>
      </c>
      <c r="C387" s="21" t="s">
        <v>121</v>
      </c>
      <c r="D387" s="21" t="s">
        <v>2018</v>
      </c>
      <c r="E387" s="21" t="s">
        <v>178</v>
      </c>
      <c r="F387" s="20" t="s">
        <v>79</v>
      </c>
      <c r="G387" s="20" t="s">
        <v>121</v>
      </c>
      <c r="H387" s="21" t="s">
        <v>117</v>
      </c>
      <c r="I387" s="21" t="s">
        <v>2019</v>
      </c>
      <c r="J387" s="21" t="s">
        <v>117</v>
      </c>
      <c r="K387" s="21" t="s">
        <v>2020</v>
      </c>
      <c r="L387" s="22"/>
      <c r="M387" s="23" t="s">
        <v>39</v>
      </c>
      <c r="N387" s="22"/>
      <c r="O387" s="24"/>
      <c r="P387" s="22"/>
      <c r="Q387" s="22"/>
    </row>
    <row r="388" customFormat="false" ht="33.75" hidden="false" customHeight="true" outlineLevel="0" collapsed="false">
      <c r="A388" s="20" t="s">
        <v>2021</v>
      </c>
      <c r="B388" s="21" t="s">
        <v>69</v>
      </c>
      <c r="C388" s="21" t="s">
        <v>2022</v>
      </c>
      <c r="D388" s="21" t="s">
        <v>2023</v>
      </c>
      <c r="E388" s="21" t="s">
        <v>2024</v>
      </c>
      <c r="F388" s="20" t="s">
        <v>79</v>
      </c>
      <c r="G388" s="20" t="s">
        <v>106</v>
      </c>
      <c r="H388" s="21" t="s">
        <v>2025</v>
      </c>
      <c r="I388" s="21" t="s">
        <v>2026</v>
      </c>
      <c r="J388" s="21" t="s">
        <v>117</v>
      </c>
      <c r="K388" s="21" t="s">
        <v>2027</v>
      </c>
      <c r="L388" s="22"/>
      <c r="M388" s="23" t="s">
        <v>39</v>
      </c>
      <c r="N388" s="22"/>
      <c r="O388" s="24"/>
      <c r="P388" s="22"/>
      <c r="Q388" s="22"/>
    </row>
    <row r="389" customFormat="false" ht="48" hidden="false" customHeight="true" outlineLevel="0" collapsed="false">
      <c r="A389" s="20" t="s">
        <v>2028</v>
      </c>
      <c r="B389" s="21" t="s">
        <v>69</v>
      </c>
      <c r="C389" s="21" t="s">
        <v>2029</v>
      </c>
      <c r="D389" s="21" t="s">
        <v>2030</v>
      </c>
      <c r="E389" s="21" t="s">
        <v>2031</v>
      </c>
      <c r="F389" s="20" t="s">
        <v>79</v>
      </c>
      <c r="G389" s="20" t="s">
        <v>121</v>
      </c>
      <c r="H389" s="21" t="s">
        <v>117</v>
      </c>
      <c r="I389" s="21" t="s">
        <v>2032</v>
      </c>
      <c r="J389" s="21" t="s">
        <v>117</v>
      </c>
      <c r="K389" s="21" t="s">
        <v>2033</v>
      </c>
      <c r="L389" s="22"/>
      <c r="M389" s="23" t="s">
        <v>39</v>
      </c>
      <c r="N389" s="22"/>
      <c r="O389" s="24"/>
      <c r="P389" s="22"/>
      <c r="Q389" s="22"/>
    </row>
    <row r="390" customFormat="false" ht="33.75" hidden="false" customHeight="true" outlineLevel="0" collapsed="false">
      <c r="A390" s="20" t="s">
        <v>2034</v>
      </c>
      <c r="B390" s="21" t="s">
        <v>69</v>
      </c>
      <c r="C390" s="21" t="s">
        <v>2035</v>
      </c>
      <c r="D390" s="21" t="s">
        <v>2036</v>
      </c>
      <c r="E390" s="21" t="s">
        <v>459</v>
      </c>
      <c r="F390" s="20" t="s">
        <v>81</v>
      </c>
      <c r="G390" s="20" t="s">
        <v>106</v>
      </c>
      <c r="H390" s="21" t="s">
        <v>117</v>
      </c>
      <c r="I390" s="21" t="s">
        <v>2037</v>
      </c>
      <c r="J390" s="21" t="s">
        <v>117</v>
      </c>
      <c r="K390" s="21" t="s">
        <v>2038</v>
      </c>
      <c r="L390" s="22"/>
      <c r="M390" s="23" t="s">
        <v>39</v>
      </c>
      <c r="N390" s="22"/>
      <c r="O390" s="24"/>
      <c r="P390" s="22"/>
      <c r="Q390" s="22"/>
    </row>
    <row r="391" customFormat="false" ht="33.75" hidden="false" customHeight="true" outlineLevel="0" collapsed="false">
      <c r="A391" s="20" t="s">
        <v>2039</v>
      </c>
      <c r="B391" s="21" t="s">
        <v>69</v>
      </c>
      <c r="C391" s="21" t="s">
        <v>2035</v>
      </c>
      <c r="D391" s="21" t="s">
        <v>2040</v>
      </c>
      <c r="E391" s="21" t="s">
        <v>178</v>
      </c>
      <c r="F391" s="20" t="s">
        <v>80</v>
      </c>
      <c r="G391" s="20" t="s">
        <v>121</v>
      </c>
      <c r="H391" s="21" t="s">
        <v>2041</v>
      </c>
      <c r="I391" s="21" t="s">
        <v>2042</v>
      </c>
      <c r="J391" s="21" t="s">
        <v>117</v>
      </c>
      <c r="K391" s="21" t="s">
        <v>2043</v>
      </c>
      <c r="L391" s="22"/>
      <c r="M391" s="23" t="s">
        <v>39</v>
      </c>
      <c r="N391" s="22"/>
      <c r="O391" s="24"/>
      <c r="P391" s="22"/>
      <c r="Q391" s="22"/>
    </row>
    <row r="392" customFormat="false" ht="61.5" hidden="false" customHeight="true" outlineLevel="0" collapsed="false">
      <c r="A392" s="20" t="s">
        <v>2044</v>
      </c>
      <c r="B392" s="21" t="s">
        <v>69</v>
      </c>
      <c r="C392" s="21" t="s">
        <v>2045</v>
      </c>
      <c r="D392" s="21" t="s">
        <v>2046</v>
      </c>
      <c r="E392" s="21" t="s">
        <v>2047</v>
      </c>
      <c r="F392" s="20" t="s">
        <v>79</v>
      </c>
      <c r="G392" s="20" t="s">
        <v>121</v>
      </c>
      <c r="H392" s="21" t="s">
        <v>117</v>
      </c>
      <c r="I392" s="21" t="s">
        <v>2048</v>
      </c>
      <c r="J392" s="21" t="s">
        <v>117</v>
      </c>
      <c r="K392" s="21" t="s">
        <v>2049</v>
      </c>
      <c r="L392" s="22"/>
      <c r="M392" s="23" t="s">
        <v>39</v>
      </c>
      <c r="N392" s="22"/>
      <c r="O392" s="24"/>
      <c r="P392" s="22"/>
      <c r="Q392" s="22"/>
    </row>
    <row r="393" customFormat="false" ht="48" hidden="false" customHeight="true" outlineLevel="0" collapsed="false">
      <c r="A393" s="20" t="s">
        <v>2050</v>
      </c>
      <c r="B393" s="21" t="s">
        <v>69</v>
      </c>
      <c r="C393" s="21" t="s">
        <v>2051</v>
      </c>
      <c r="D393" s="21" t="s">
        <v>2052</v>
      </c>
      <c r="E393" s="21" t="s">
        <v>2053</v>
      </c>
      <c r="F393" s="20" t="s">
        <v>79</v>
      </c>
      <c r="G393" s="20" t="s">
        <v>121</v>
      </c>
      <c r="H393" s="21" t="s">
        <v>117</v>
      </c>
      <c r="I393" s="21" t="s">
        <v>2054</v>
      </c>
      <c r="J393" s="21" t="s">
        <v>117</v>
      </c>
      <c r="K393" s="21" t="s">
        <v>2055</v>
      </c>
      <c r="L393" s="22"/>
      <c r="M393" s="23" t="s">
        <v>39</v>
      </c>
      <c r="N393" s="22"/>
      <c r="O393" s="24"/>
      <c r="P393" s="22"/>
      <c r="Q393" s="22"/>
    </row>
    <row r="394" customFormat="false" ht="33.75" hidden="false" customHeight="true" outlineLevel="0" collapsed="false">
      <c r="A394" s="20" t="s">
        <v>2056</v>
      </c>
      <c r="B394" s="21" t="s">
        <v>69</v>
      </c>
      <c r="C394" s="21" t="s">
        <v>2057</v>
      </c>
      <c r="D394" s="21" t="s">
        <v>2058</v>
      </c>
      <c r="E394" s="21" t="s">
        <v>190</v>
      </c>
      <c r="F394" s="20" t="s">
        <v>79</v>
      </c>
      <c r="G394" s="20" t="s">
        <v>121</v>
      </c>
      <c r="H394" s="21" t="s">
        <v>282</v>
      </c>
      <c r="I394" s="21" t="s">
        <v>2059</v>
      </c>
      <c r="J394" s="21" t="s">
        <v>117</v>
      </c>
      <c r="K394" s="21" t="s">
        <v>2060</v>
      </c>
      <c r="L394" s="22"/>
      <c r="M394" s="23" t="s">
        <v>39</v>
      </c>
      <c r="N394" s="22"/>
      <c r="O394" s="24"/>
      <c r="P394" s="22"/>
      <c r="Q394" s="22"/>
    </row>
    <row r="395" customFormat="false" ht="33.75" hidden="false" customHeight="true" outlineLevel="0" collapsed="false">
      <c r="A395" s="20" t="s">
        <v>2061</v>
      </c>
      <c r="B395" s="21" t="s">
        <v>69</v>
      </c>
      <c r="C395" s="21" t="s">
        <v>2057</v>
      </c>
      <c r="D395" s="21" t="s">
        <v>2062</v>
      </c>
      <c r="E395" s="21" t="s">
        <v>2063</v>
      </c>
      <c r="F395" s="20" t="s">
        <v>80</v>
      </c>
      <c r="G395" s="20" t="s">
        <v>121</v>
      </c>
      <c r="H395" s="21" t="s">
        <v>117</v>
      </c>
      <c r="I395" s="21" t="s">
        <v>2064</v>
      </c>
      <c r="J395" s="21" t="s">
        <v>117</v>
      </c>
      <c r="K395" s="21" t="s">
        <v>2065</v>
      </c>
      <c r="L395" s="22"/>
      <c r="M395" s="23" t="s">
        <v>39</v>
      </c>
      <c r="N395" s="22"/>
      <c r="O395" s="24"/>
      <c r="P395" s="22"/>
      <c r="Q395" s="22"/>
    </row>
    <row r="396" customFormat="false" ht="33.75" hidden="false" customHeight="true" outlineLevel="0" collapsed="false">
      <c r="A396" s="20" t="s">
        <v>2066</v>
      </c>
      <c r="B396" s="21" t="s">
        <v>69</v>
      </c>
      <c r="C396" s="21" t="s">
        <v>2067</v>
      </c>
      <c r="D396" s="21" t="s">
        <v>2068</v>
      </c>
      <c r="E396" s="21" t="s">
        <v>105</v>
      </c>
      <c r="F396" s="20" t="s">
        <v>79</v>
      </c>
      <c r="G396" s="20" t="s">
        <v>121</v>
      </c>
      <c r="H396" s="21" t="s">
        <v>2069</v>
      </c>
      <c r="I396" s="21" t="s">
        <v>2070</v>
      </c>
      <c r="J396" s="21" t="s">
        <v>117</v>
      </c>
      <c r="K396" s="21" t="s">
        <v>2071</v>
      </c>
      <c r="L396" s="22"/>
      <c r="M396" s="23" t="s">
        <v>39</v>
      </c>
      <c r="N396" s="22"/>
      <c r="O396" s="24"/>
      <c r="P396" s="22"/>
      <c r="Q396" s="22"/>
    </row>
    <row r="397" customFormat="false" ht="33.75" hidden="false" customHeight="true" outlineLevel="0" collapsed="false">
      <c r="A397" s="20" t="s">
        <v>2072</v>
      </c>
      <c r="B397" s="21" t="s">
        <v>69</v>
      </c>
      <c r="C397" s="21" t="s">
        <v>433</v>
      </c>
      <c r="D397" s="21" t="s">
        <v>2073</v>
      </c>
      <c r="E397" s="21" t="s">
        <v>105</v>
      </c>
      <c r="F397" s="20" t="s">
        <v>80</v>
      </c>
      <c r="G397" s="20" t="s">
        <v>121</v>
      </c>
      <c r="H397" s="21" t="s">
        <v>117</v>
      </c>
      <c r="I397" s="21" t="s">
        <v>2074</v>
      </c>
      <c r="J397" s="21" t="s">
        <v>117</v>
      </c>
      <c r="K397" s="21" t="s">
        <v>2075</v>
      </c>
      <c r="L397" s="22"/>
      <c r="M397" s="23" t="s">
        <v>39</v>
      </c>
      <c r="N397" s="22"/>
      <c r="O397" s="24"/>
      <c r="P397" s="22"/>
      <c r="Q397" s="22"/>
    </row>
    <row r="398" customFormat="false" ht="48" hidden="false" customHeight="true" outlineLevel="0" collapsed="false">
      <c r="A398" s="20" t="s">
        <v>2076</v>
      </c>
      <c r="B398" s="21" t="s">
        <v>70</v>
      </c>
      <c r="C398" s="21" t="s">
        <v>2077</v>
      </c>
      <c r="D398" s="21" t="s">
        <v>2078</v>
      </c>
      <c r="E398" s="21" t="s">
        <v>459</v>
      </c>
      <c r="F398" s="20" t="s">
        <v>79</v>
      </c>
      <c r="G398" s="20" t="s">
        <v>106</v>
      </c>
      <c r="H398" s="21" t="s">
        <v>117</v>
      </c>
      <c r="I398" s="21" t="s">
        <v>2079</v>
      </c>
      <c r="J398" s="21" t="s">
        <v>117</v>
      </c>
      <c r="K398" s="21" t="s">
        <v>2080</v>
      </c>
      <c r="L398" s="22"/>
      <c r="M398" s="23" t="s">
        <v>39</v>
      </c>
      <c r="N398" s="22"/>
      <c r="O398" s="24"/>
      <c r="P398" s="22"/>
      <c r="Q398" s="22"/>
    </row>
    <row r="399" customFormat="false" ht="48" hidden="false" customHeight="true" outlineLevel="0" collapsed="false">
      <c r="A399" s="20" t="s">
        <v>2081</v>
      </c>
      <c r="B399" s="21" t="s">
        <v>70</v>
      </c>
      <c r="C399" s="21" t="s">
        <v>2077</v>
      </c>
      <c r="D399" s="21" t="s">
        <v>2082</v>
      </c>
      <c r="E399" s="21" t="s">
        <v>459</v>
      </c>
      <c r="F399" s="20" t="s">
        <v>80</v>
      </c>
      <c r="G399" s="20" t="s">
        <v>114</v>
      </c>
      <c r="H399" s="21" t="s">
        <v>117</v>
      </c>
      <c r="I399" s="21" t="s">
        <v>2083</v>
      </c>
      <c r="J399" s="21" t="s">
        <v>117</v>
      </c>
      <c r="K399" s="21" t="s">
        <v>2084</v>
      </c>
      <c r="L399" s="22"/>
      <c r="M399" s="23" t="s">
        <v>39</v>
      </c>
      <c r="N399" s="22"/>
      <c r="O399" s="24"/>
      <c r="P399" s="22"/>
      <c r="Q399" s="22"/>
    </row>
    <row r="400" customFormat="false" ht="48" hidden="false" customHeight="true" outlineLevel="0" collapsed="false">
      <c r="A400" s="20" t="s">
        <v>2085</v>
      </c>
      <c r="B400" s="21" t="s">
        <v>70</v>
      </c>
      <c r="C400" s="21" t="s">
        <v>2077</v>
      </c>
      <c r="D400" s="21" t="s">
        <v>2086</v>
      </c>
      <c r="E400" s="21" t="s">
        <v>459</v>
      </c>
      <c r="F400" s="20" t="s">
        <v>81</v>
      </c>
      <c r="G400" s="20" t="s">
        <v>114</v>
      </c>
      <c r="H400" s="21" t="s">
        <v>117</v>
      </c>
      <c r="I400" s="21" t="s">
        <v>2087</v>
      </c>
      <c r="J400" s="21" t="s">
        <v>117</v>
      </c>
      <c r="K400" s="21" t="s">
        <v>2088</v>
      </c>
      <c r="L400" s="22"/>
      <c r="M400" s="23" t="s">
        <v>39</v>
      </c>
      <c r="N400" s="22"/>
      <c r="O400" s="24"/>
      <c r="P400" s="22"/>
      <c r="Q400" s="22"/>
    </row>
    <row r="401" customFormat="false" ht="48" hidden="false" customHeight="true" outlineLevel="0" collapsed="false">
      <c r="A401" s="20" t="s">
        <v>2089</v>
      </c>
      <c r="B401" s="21" t="s">
        <v>70</v>
      </c>
      <c r="C401" s="21" t="s">
        <v>2077</v>
      </c>
      <c r="D401" s="21" t="s">
        <v>2090</v>
      </c>
      <c r="E401" s="21" t="s">
        <v>2091</v>
      </c>
      <c r="F401" s="20" t="s">
        <v>80</v>
      </c>
      <c r="G401" s="20" t="s">
        <v>106</v>
      </c>
      <c r="H401" s="21" t="s">
        <v>117</v>
      </c>
      <c r="I401" s="21" t="s">
        <v>2092</v>
      </c>
      <c r="J401" s="21" t="s">
        <v>117</v>
      </c>
      <c r="K401" s="21" t="s">
        <v>2093</v>
      </c>
      <c r="L401" s="22"/>
      <c r="M401" s="23" t="s">
        <v>39</v>
      </c>
      <c r="N401" s="22"/>
      <c r="O401" s="24"/>
      <c r="P401" s="22"/>
      <c r="Q401" s="22"/>
    </row>
    <row r="402" customFormat="false" ht="48" hidden="false" customHeight="true" outlineLevel="0" collapsed="false">
      <c r="A402" s="20" t="s">
        <v>2094</v>
      </c>
      <c r="B402" s="21" t="s">
        <v>70</v>
      </c>
      <c r="C402" s="21" t="s">
        <v>2095</v>
      </c>
      <c r="D402" s="21" t="s">
        <v>2096</v>
      </c>
      <c r="E402" s="21" t="s">
        <v>459</v>
      </c>
      <c r="F402" s="20" t="s">
        <v>79</v>
      </c>
      <c r="G402" s="20" t="s">
        <v>106</v>
      </c>
      <c r="H402" s="21" t="s">
        <v>2097</v>
      </c>
      <c r="I402" s="21" t="s">
        <v>2098</v>
      </c>
      <c r="J402" s="21" t="s">
        <v>117</v>
      </c>
      <c r="K402" s="21" t="s">
        <v>2099</v>
      </c>
      <c r="L402" s="22"/>
      <c r="M402" s="23" t="s">
        <v>39</v>
      </c>
      <c r="N402" s="22"/>
      <c r="O402" s="24"/>
      <c r="P402" s="22"/>
      <c r="Q402" s="22"/>
    </row>
    <row r="403" customFormat="false" ht="48" hidden="false" customHeight="true" outlineLevel="0" collapsed="false">
      <c r="A403" s="20" t="s">
        <v>2100</v>
      </c>
      <c r="B403" s="21" t="s">
        <v>70</v>
      </c>
      <c r="C403" s="21" t="s">
        <v>2095</v>
      </c>
      <c r="D403" s="21" t="s">
        <v>2101</v>
      </c>
      <c r="E403" s="21" t="s">
        <v>459</v>
      </c>
      <c r="F403" s="20" t="s">
        <v>81</v>
      </c>
      <c r="G403" s="20" t="s">
        <v>136</v>
      </c>
      <c r="H403" s="21" t="s">
        <v>2102</v>
      </c>
      <c r="I403" s="21" t="s">
        <v>2103</v>
      </c>
      <c r="J403" s="21" t="s">
        <v>117</v>
      </c>
      <c r="K403" s="21" t="s">
        <v>2104</v>
      </c>
      <c r="L403" s="22"/>
      <c r="M403" s="23" t="s">
        <v>39</v>
      </c>
      <c r="N403" s="22"/>
      <c r="O403" s="24"/>
      <c r="P403" s="22"/>
      <c r="Q403" s="22"/>
    </row>
    <row r="404" customFormat="false" ht="48" hidden="false" customHeight="true" outlineLevel="0" collapsed="false">
      <c r="A404" s="20" t="s">
        <v>2105</v>
      </c>
      <c r="B404" s="21" t="s">
        <v>70</v>
      </c>
      <c r="C404" s="21" t="s">
        <v>2095</v>
      </c>
      <c r="D404" s="21" t="s">
        <v>2106</v>
      </c>
      <c r="E404" s="21" t="s">
        <v>459</v>
      </c>
      <c r="F404" s="20" t="s">
        <v>81</v>
      </c>
      <c r="G404" s="20" t="s">
        <v>136</v>
      </c>
      <c r="H404" s="21" t="s">
        <v>117</v>
      </c>
      <c r="I404" s="21" t="s">
        <v>2107</v>
      </c>
      <c r="J404" s="21" t="s">
        <v>117</v>
      </c>
      <c r="K404" s="21" t="s">
        <v>2108</v>
      </c>
      <c r="L404" s="22"/>
      <c r="M404" s="23" t="s">
        <v>39</v>
      </c>
      <c r="N404" s="22"/>
      <c r="O404" s="24"/>
      <c r="P404" s="22"/>
      <c r="Q404" s="22"/>
    </row>
    <row r="405" customFormat="false" ht="48" hidden="false" customHeight="true" outlineLevel="0" collapsed="false">
      <c r="A405" s="20" t="s">
        <v>2109</v>
      </c>
      <c r="B405" s="21" t="s">
        <v>70</v>
      </c>
      <c r="C405" s="21" t="s">
        <v>711</v>
      </c>
      <c r="D405" s="21" t="s">
        <v>2110</v>
      </c>
      <c r="E405" s="21" t="s">
        <v>459</v>
      </c>
      <c r="F405" s="20" t="s">
        <v>80</v>
      </c>
      <c r="G405" s="20" t="s">
        <v>106</v>
      </c>
      <c r="H405" s="21" t="s">
        <v>117</v>
      </c>
      <c r="I405" s="21" t="s">
        <v>2111</v>
      </c>
      <c r="J405" s="21" t="s">
        <v>117</v>
      </c>
      <c r="K405" s="21" t="s">
        <v>2112</v>
      </c>
      <c r="L405" s="22"/>
      <c r="M405" s="23" t="s">
        <v>39</v>
      </c>
      <c r="N405" s="22"/>
      <c r="O405" s="24"/>
      <c r="P405" s="22"/>
      <c r="Q405" s="22"/>
    </row>
    <row r="406" customFormat="false" ht="48" hidden="false" customHeight="true" outlineLevel="0" collapsed="false">
      <c r="A406" s="20" t="s">
        <v>2113</v>
      </c>
      <c r="B406" s="21" t="s">
        <v>70</v>
      </c>
      <c r="C406" s="21" t="s">
        <v>2114</v>
      </c>
      <c r="D406" s="21" t="s">
        <v>2115</v>
      </c>
      <c r="E406" s="21" t="s">
        <v>459</v>
      </c>
      <c r="F406" s="20" t="s">
        <v>81</v>
      </c>
      <c r="G406" s="20" t="s">
        <v>106</v>
      </c>
      <c r="H406" s="21" t="s">
        <v>117</v>
      </c>
      <c r="I406" s="21" t="s">
        <v>2116</v>
      </c>
      <c r="J406" s="21" t="s">
        <v>117</v>
      </c>
      <c r="K406" s="21" t="s">
        <v>2117</v>
      </c>
      <c r="L406" s="22"/>
      <c r="M406" s="23" t="s">
        <v>39</v>
      </c>
      <c r="N406" s="22"/>
      <c r="O406" s="24"/>
      <c r="P406" s="22"/>
      <c r="Q406" s="22"/>
    </row>
    <row r="407" customFormat="false" ht="48" hidden="false" customHeight="true" outlineLevel="0" collapsed="false">
      <c r="A407" s="20" t="s">
        <v>2118</v>
      </c>
      <c r="B407" s="21" t="s">
        <v>70</v>
      </c>
      <c r="C407" s="21" t="s">
        <v>2119</v>
      </c>
      <c r="D407" s="21" t="s">
        <v>2120</v>
      </c>
      <c r="E407" s="21" t="s">
        <v>459</v>
      </c>
      <c r="F407" s="20" t="s">
        <v>81</v>
      </c>
      <c r="G407" s="20" t="s">
        <v>136</v>
      </c>
      <c r="H407" s="21" t="s">
        <v>117</v>
      </c>
      <c r="I407" s="21" t="s">
        <v>2121</v>
      </c>
      <c r="J407" s="21" t="s">
        <v>117</v>
      </c>
      <c r="K407" s="21" t="s">
        <v>2122</v>
      </c>
      <c r="L407" s="22"/>
      <c r="M407" s="23" t="s">
        <v>39</v>
      </c>
      <c r="N407" s="22"/>
      <c r="O407" s="24"/>
      <c r="P407" s="22"/>
      <c r="Q407" s="22"/>
    </row>
    <row r="408" customFormat="false" ht="48" hidden="false" customHeight="true" outlineLevel="0" collapsed="false">
      <c r="A408" s="20" t="s">
        <v>2123</v>
      </c>
      <c r="B408" s="21" t="s">
        <v>70</v>
      </c>
      <c r="C408" s="21" t="s">
        <v>649</v>
      </c>
      <c r="D408" s="21" t="s">
        <v>2124</v>
      </c>
      <c r="E408" s="21" t="s">
        <v>459</v>
      </c>
      <c r="F408" s="20" t="s">
        <v>80</v>
      </c>
      <c r="G408" s="20" t="s">
        <v>106</v>
      </c>
      <c r="H408" s="21" t="s">
        <v>117</v>
      </c>
      <c r="I408" s="21" t="s">
        <v>2125</v>
      </c>
      <c r="J408" s="21" t="s">
        <v>117</v>
      </c>
      <c r="K408" s="21" t="s">
        <v>2126</v>
      </c>
      <c r="L408" s="22"/>
      <c r="M408" s="23" t="s">
        <v>39</v>
      </c>
      <c r="N408" s="22"/>
      <c r="O408" s="24"/>
      <c r="P408" s="22"/>
      <c r="Q408" s="22"/>
    </row>
    <row r="409" customFormat="false" ht="48" hidden="false" customHeight="true" outlineLevel="0" collapsed="false">
      <c r="A409" s="20" t="s">
        <v>2127</v>
      </c>
      <c r="B409" s="21" t="s">
        <v>70</v>
      </c>
      <c r="C409" s="21" t="s">
        <v>2128</v>
      </c>
      <c r="D409" s="21" t="s">
        <v>2129</v>
      </c>
      <c r="E409" s="21" t="s">
        <v>459</v>
      </c>
      <c r="F409" s="20" t="s">
        <v>81</v>
      </c>
      <c r="G409" s="20" t="s">
        <v>106</v>
      </c>
      <c r="H409" s="21" t="s">
        <v>117</v>
      </c>
      <c r="I409" s="21" t="s">
        <v>2130</v>
      </c>
      <c r="J409" s="21" t="s">
        <v>117</v>
      </c>
      <c r="K409" s="21" t="s">
        <v>2131</v>
      </c>
      <c r="L409" s="22"/>
      <c r="M409" s="23" t="s">
        <v>39</v>
      </c>
      <c r="N409" s="22"/>
      <c r="O409" s="24"/>
      <c r="P409" s="22"/>
      <c r="Q409" s="22"/>
    </row>
    <row r="410" customFormat="false" ht="33.75" hidden="false" customHeight="true" outlineLevel="0" collapsed="false">
      <c r="A410" s="20" t="s">
        <v>2132</v>
      </c>
      <c r="B410" s="21" t="s">
        <v>71</v>
      </c>
      <c r="C410" s="21" t="s">
        <v>2133</v>
      </c>
      <c r="D410" s="21" t="s">
        <v>2134</v>
      </c>
      <c r="E410" s="21" t="s">
        <v>459</v>
      </c>
      <c r="F410" s="20" t="s">
        <v>80</v>
      </c>
      <c r="G410" s="20" t="s">
        <v>106</v>
      </c>
      <c r="H410" s="21" t="s">
        <v>117</v>
      </c>
      <c r="I410" s="21" t="s">
        <v>2135</v>
      </c>
      <c r="J410" s="21" t="s">
        <v>117</v>
      </c>
      <c r="K410" s="21" t="s">
        <v>2136</v>
      </c>
      <c r="L410" s="22"/>
      <c r="M410" s="23" t="s">
        <v>39</v>
      </c>
      <c r="N410" s="22"/>
      <c r="O410" s="24"/>
      <c r="P410" s="22"/>
      <c r="Q410" s="22"/>
    </row>
    <row r="411" customFormat="false" ht="33.75" hidden="false" customHeight="true" outlineLevel="0" collapsed="false">
      <c r="A411" s="20" t="s">
        <v>2137</v>
      </c>
      <c r="B411" s="21" t="s">
        <v>71</v>
      </c>
      <c r="C411" s="21" t="s">
        <v>2133</v>
      </c>
      <c r="D411" s="21" t="s">
        <v>2138</v>
      </c>
      <c r="E411" s="21" t="s">
        <v>459</v>
      </c>
      <c r="F411" s="20" t="s">
        <v>81</v>
      </c>
      <c r="G411" s="20" t="s">
        <v>136</v>
      </c>
      <c r="H411" s="21" t="s">
        <v>2139</v>
      </c>
      <c r="I411" s="21" t="s">
        <v>2135</v>
      </c>
      <c r="J411" s="21" t="s">
        <v>117</v>
      </c>
      <c r="K411" s="21" t="s">
        <v>2140</v>
      </c>
      <c r="L411" s="22"/>
      <c r="M411" s="23" t="s">
        <v>39</v>
      </c>
      <c r="N411" s="22"/>
      <c r="O411" s="24"/>
      <c r="P411" s="22"/>
      <c r="Q411" s="22"/>
    </row>
    <row r="412" customFormat="false" ht="33.75" hidden="false" customHeight="true" outlineLevel="0" collapsed="false">
      <c r="A412" s="20" t="s">
        <v>2141</v>
      </c>
      <c r="B412" s="21" t="s">
        <v>71</v>
      </c>
      <c r="C412" s="21" t="s">
        <v>2142</v>
      </c>
      <c r="D412" s="21" t="s">
        <v>2143</v>
      </c>
      <c r="E412" s="21" t="s">
        <v>2144</v>
      </c>
      <c r="F412" s="20" t="s">
        <v>80</v>
      </c>
      <c r="G412" s="20" t="s">
        <v>106</v>
      </c>
      <c r="H412" s="21" t="s">
        <v>2145</v>
      </c>
      <c r="I412" s="21" t="s">
        <v>2146</v>
      </c>
      <c r="J412" s="21" t="s">
        <v>117</v>
      </c>
      <c r="K412" s="21" t="s">
        <v>2147</v>
      </c>
      <c r="L412" s="22"/>
      <c r="M412" s="23" t="s">
        <v>39</v>
      </c>
      <c r="N412" s="22"/>
      <c r="O412" s="24"/>
      <c r="P412" s="22"/>
      <c r="Q412" s="22"/>
    </row>
    <row r="413" customFormat="false" ht="33.75" hidden="false" customHeight="true" outlineLevel="0" collapsed="false">
      <c r="A413" s="20" t="s">
        <v>2148</v>
      </c>
      <c r="B413" s="21" t="s">
        <v>71</v>
      </c>
      <c r="C413" s="21" t="s">
        <v>2142</v>
      </c>
      <c r="D413" s="21" t="s">
        <v>2149</v>
      </c>
      <c r="E413" s="21" t="s">
        <v>459</v>
      </c>
      <c r="F413" s="20" t="s">
        <v>80</v>
      </c>
      <c r="G413" s="20" t="s">
        <v>106</v>
      </c>
      <c r="H413" s="21" t="s">
        <v>117</v>
      </c>
      <c r="I413" s="21" t="s">
        <v>2150</v>
      </c>
      <c r="J413" s="21" t="s">
        <v>117</v>
      </c>
      <c r="K413" s="21" t="s">
        <v>2151</v>
      </c>
      <c r="L413" s="22"/>
      <c r="M413" s="23" t="s">
        <v>39</v>
      </c>
      <c r="N413" s="22"/>
      <c r="O413" s="24"/>
      <c r="P413" s="22"/>
      <c r="Q413" s="22"/>
    </row>
    <row r="414" customFormat="false" ht="61.5" hidden="false" customHeight="true" outlineLevel="0" collapsed="false">
      <c r="A414" s="20" t="s">
        <v>2152</v>
      </c>
      <c r="B414" s="21" t="s">
        <v>71</v>
      </c>
      <c r="C414" s="21" t="s">
        <v>2142</v>
      </c>
      <c r="D414" s="21" t="s">
        <v>2153</v>
      </c>
      <c r="E414" s="21" t="s">
        <v>897</v>
      </c>
      <c r="F414" s="20" t="s">
        <v>79</v>
      </c>
      <c r="G414" s="20" t="s">
        <v>106</v>
      </c>
      <c r="H414" s="21" t="s">
        <v>2154</v>
      </c>
      <c r="I414" s="21" t="s">
        <v>2155</v>
      </c>
      <c r="J414" s="21" t="s">
        <v>117</v>
      </c>
      <c r="K414" s="21" t="s">
        <v>2156</v>
      </c>
      <c r="L414" s="22"/>
      <c r="M414" s="23" t="s">
        <v>39</v>
      </c>
      <c r="N414" s="22"/>
      <c r="O414" s="24"/>
      <c r="P414" s="22"/>
      <c r="Q414" s="22"/>
    </row>
    <row r="415" customFormat="false" ht="33.75" hidden="false" customHeight="true" outlineLevel="0" collapsed="false">
      <c r="A415" s="20" t="s">
        <v>2157</v>
      </c>
      <c r="B415" s="21" t="s">
        <v>71</v>
      </c>
      <c r="C415" s="21" t="s">
        <v>2142</v>
      </c>
      <c r="D415" s="21" t="s">
        <v>2158</v>
      </c>
      <c r="E415" s="21" t="s">
        <v>459</v>
      </c>
      <c r="F415" s="20" t="s">
        <v>81</v>
      </c>
      <c r="G415" s="20" t="s">
        <v>136</v>
      </c>
      <c r="H415" s="21" t="s">
        <v>2159</v>
      </c>
      <c r="I415" s="21" t="s">
        <v>2160</v>
      </c>
      <c r="J415" s="21" t="s">
        <v>117</v>
      </c>
      <c r="K415" s="21" t="s">
        <v>2161</v>
      </c>
      <c r="L415" s="22"/>
      <c r="M415" s="23" t="s">
        <v>39</v>
      </c>
      <c r="N415" s="22"/>
      <c r="O415" s="24"/>
      <c r="P415" s="22"/>
      <c r="Q415" s="22"/>
    </row>
    <row r="416" customFormat="false" ht="33.75" hidden="false" customHeight="true" outlineLevel="0" collapsed="false">
      <c r="A416" s="20" t="s">
        <v>2162</v>
      </c>
      <c r="B416" s="21" t="s">
        <v>71</v>
      </c>
      <c r="C416" s="21" t="s">
        <v>2142</v>
      </c>
      <c r="D416" s="21" t="s">
        <v>2163</v>
      </c>
      <c r="E416" s="21" t="s">
        <v>913</v>
      </c>
      <c r="F416" s="20" t="s">
        <v>80</v>
      </c>
      <c r="G416" s="20" t="s">
        <v>121</v>
      </c>
      <c r="H416" s="21" t="s">
        <v>117</v>
      </c>
      <c r="I416" s="21" t="s">
        <v>2164</v>
      </c>
      <c r="J416" s="21" t="s">
        <v>117</v>
      </c>
      <c r="K416" s="21" t="s">
        <v>2165</v>
      </c>
      <c r="L416" s="22"/>
      <c r="M416" s="23" t="s">
        <v>39</v>
      </c>
      <c r="N416" s="22"/>
      <c r="O416" s="24"/>
      <c r="P416" s="22"/>
      <c r="Q416" s="22"/>
    </row>
    <row r="417" customFormat="false" ht="48" hidden="false" customHeight="true" outlineLevel="0" collapsed="false">
      <c r="A417" s="20" t="s">
        <v>2166</v>
      </c>
      <c r="B417" s="21" t="s">
        <v>72</v>
      </c>
      <c r="C417" s="21" t="s">
        <v>2167</v>
      </c>
      <c r="D417" s="21" t="s">
        <v>2168</v>
      </c>
      <c r="E417" s="21" t="s">
        <v>1806</v>
      </c>
      <c r="F417" s="20" t="s">
        <v>80</v>
      </c>
      <c r="G417" s="20" t="s">
        <v>106</v>
      </c>
      <c r="H417" s="21" t="s">
        <v>2169</v>
      </c>
      <c r="I417" s="21" t="s">
        <v>2170</v>
      </c>
      <c r="J417" s="21" t="s">
        <v>117</v>
      </c>
      <c r="K417" s="21" t="s">
        <v>2171</v>
      </c>
      <c r="L417" s="22"/>
      <c r="M417" s="23" t="s">
        <v>39</v>
      </c>
      <c r="N417" s="22"/>
      <c r="O417" s="24"/>
      <c r="P417" s="22"/>
      <c r="Q417" s="22"/>
    </row>
    <row r="418" customFormat="false" ht="48" hidden="false" customHeight="true" outlineLevel="0" collapsed="false">
      <c r="A418" s="20" t="s">
        <v>2172</v>
      </c>
      <c r="B418" s="21" t="s">
        <v>72</v>
      </c>
      <c r="C418" s="21" t="s">
        <v>2167</v>
      </c>
      <c r="D418" s="21" t="s">
        <v>2173</v>
      </c>
      <c r="E418" s="21" t="s">
        <v>1806</v>
      </c>
      <c r="F418" s="20" t="s">
        <v>81</v>
      </c>
      <c r="G418" s="20" t="s">
        <v>106</v>
      </c>
      <c r="H418" s="21" t="s">
        <v>117</v>
      </c>
      <c r="I418" s="21" t="s">
        <v>2174</v>
      </c>
      <c r="J418" s="21" t="s">
        <v>117</v>
      </c>
      <c r="K418" s="21" t="s">
        <v>2175</v>
      </c>
      <c r="L418" s="22"/>
      <c r="M418" s="23" t="s">
        <v>39</v>
      </c>
      <c r="N418" s="22"/>
      <c r="O418" s="24"/>
      <c r="P418" s="22"/>
      <c r="Q418" s="22"/>
    </row>
    <row r="419" customFormat="false" ht="33.75" hidden="false" customHeight="true" outlineLevel="0" collapsed="false">
      <c r="A419" s="20" t="s">
        <v>2176</v>
      </c>
      <c r="B419" s="21" t="s">
        <v>72</v>
      </c>
      <c r="C419" s="21" t="s">
        <v>2167</v>
      </c>
      <c r="D419" s="21" t="s">
        <v>2177</v>
      </c>
      <c r="E419" s="21" t="s">
        <v>1806</v>
      </c>
      <c r="F419" s="20" t="s">
        <v>81</v>
      </c>
      <c r="G419" s="20" t="s">
        <v>106</v>
      </c>
      <c r="H419" s="21" t="s">
        <v>117</v>
      </c>
      <c r="I419" s="21" t="s">
        <v>2178</v>
      </c>
      <c r="J419" s="21" t="s">
        <v>117</v>
      </c>
      <c r="K419" s="21" t="s">
        <v>2179</v>
      </c>
      <c r="L419" s="22"/>
      <c r="M419" s="23" t="s">
        <v>39</v>
      </c>
      <c r="N419" s="22"/>
      <c r="O419" s="24"/>
      <c r="P419" s="22"/>
      <c r="Q419" s="22"/>
    </row>
    <row r="420" customFormat="false" ht="33.75" hidden="false" customHeight="true" outlineLevel="0" collapsed="false">
      <c r="A420" s="20" t="s">
        <v>2180</v>
      </c>
      <c r="B420" s="21" t="s">
        <v>72</v>
      </c>
      <c r="C420" s="21" t="s">
        <v>121</v>
      </c>
      <c r="D420" s="21" t="s">
        <v>2181</v>
      </c>
      <c r="E420" s="21" t="s">
        <v>1806</v>
      </c>
      <c r="F420" s="20" t="s">
        <v>79</v>
      </c>
      <c r="G420" s="20" t="s">
        <v>121</v>
      </c>
      <c r="H420" s="21" t="s">
        <v>2182</v>
      </c>
      <c r="I420" s="21" t="s">
        <v>2183</v>
      </c>
      <c r="J420" s="21" t="s">
        <v>117</v>
      </c>
      <c r="K420" s="21" t="s">
        <v>284</v>
      </c>
      <c r="L420" s="22"/>
      <c r="M420" s="23" t="s">
        <v>39</v>
      </c>
      <c r="N420" s="22"/>
      <c r="O420" s="24"/>
      <c r="P420" s="22"/>
      <c r="Q420" s="22"/>
    </row>
    <row r="421" customFormat="false" ht="33.75" hidden="false" customHeight="true" outlineLevel="0" collapsed="false">
      <c r="A421" s="20" t="s">
        <v>2184</v>
      </c>
      <c r="B421" s="21" t="s">
        <v>72</v>
      </c>
      <c r="C421" s="21" t="s">
        <v>121</v>
      </c>
      <c r="D421" s="21" t="s">
        <v>2185</v>
      </c>
      <c r="E421" s="21" t="s">
        <v>1806</v>
      </c>
      <c r="F421" s="20" t="s">
        <v>81</v>
      </c>
      <c r="G421" s="20" t="s">
        <v>121</v>
      </c>
      <c r="H421" s="21" t="s">
        <v>117</v>
      </c>
      <c r="I421" s="21" t="s">
        <v>2186</v>
      </c>
      <c r="J421" s="21" t="s">
        <v>117</v>
      </c>
      <c r="K421" s="21" t="s">
        <v>2187</v>
      </c>
      <c r="L421" s="22"/>
      <c r="M421" s="23" t="s">
        <v>39</v>
      </c>
      <c r="N421" s="22"/>
      <c r="O421" s="24"/>
      <c r="P421" s="22"/>
      <c r="Q421" s="22"/>
    </row>
    <row r="422" customFormat="false" ht="33.75" hidden="false" customHeight="true" outlineLevel="0" collapsed="false">
      <c r="A422" s="20" t="s">
        <v>2188</v>
      </c>
      <c r="B422" s="21" t="s">
        <v>72</v>
      </c>
      <c r="C422" s="21" t="s">
        <v>2189</v>
      </c>
      <c r="D422" s="21" t="s">
        <v>2190</v>
      </c>
      <c r="E422" s="21" t="s">
        <v>459</v>
      </c>
      <c r="F422" s="20" t="s">
        <v>81</v>
      </c>
      <c r="G422" s="20" t="s">
        <v>106</v>
      </c>
      <c r="H422" s="21" t="s">
        <v>117</v>
      </c>
      <c r="I422" s="21" t="s">
        <v>2191</v>
      </c>
      <c r="J422" s="21" t="s">
        <v>117</v>
      </c>
      <c r="K422" s="21" t="s">
        <v>2192</v>
      </c>
      <c r="L422" s="22"/>
      <c r="M422" s="23" t="s">
        <v>39</v>
      </c>
      <c r="N422" s="22"/>
      <c r="O422" s="24"/>
      <c r="P422" s="22"/>
      <c r="Q422" s="22"/>
    </row>
    <row r="423" customFormat="false" ht="33.75" hidden="false" customHeight="true" outlineLevel="0" collapsed="false">
      <c r="A423" s="20" t="s">
        <v>2193</v>
      </c>
      <c r="B423" s="21" t="s">
        <v>72</v>
      </c>
      <c r="C423" s="21" t="s">
        <v>2194</v>
      </c>
      <c r="D423" s="21" t="s">
        <v>2195</v>
      </c>
      <c r="E423" s="21" t="s">
        <v>1806</v>
      </c>
      <c r="F423" s="20" t="s">
        <v>80</v>
      </c>
      <c r="G423" s="20" t="s">
        <v>106</v>
      </c>
      <c r="H423" s="21" t="s">
        <v>2196</v>
      </c>
      <c r="I423" s="21" t="s">
        <v>2197</v>
      </c>
      <c r="J423" s="21" t="s">
        <v>117</v>
      </c>
      <c r="K423" s="21" t="s">
        <v>2198</v>
      </c>
      <c r="L423" s="22"/>
      <c r="M423" s="23" t="s">
        <v>39</v>
      </c>
      <c r="N423" s="22"/>
      <c r="O423" s="24"/>
      <c r="P423" s="22"/>
      <c r="Q423" s="22"/>
    </row>
    <row r="424" customFormat="false" ht="33.75" hidden="false" customHeight="true" outlineLevel="0" collapsed="false">
      <c r="A424" s="20" t="s">
        <v>2199</v>
      </c>
      <c r="B424" s="21" t="s">
        <v>72</v>
      </c>
      <c r="C424" s="21" t="s">
        <v>2200</v>
      </c>
      <c r="D424" s="21" t="s">
        <v>2201</v>
      </c>
      <c r="E424" s="21" t="s">
        <v>1806</v>
      </c>
      <c r="F424" s="20" t="s">
        <v>81</v>
      </c>
      <c r="G424" s="20" t="s">
        <v>106</v>
      </c>
      <c r="H424" s="21" t="s">
        <v>2202</v>
      </c>
      <c r="I424" s="21" t="s">
        <v>2203</v>
      </c>
      <c r="J424" s="21" t="s">
        <v>117</v>
      </c>
      <c r="K424" s="21" t="s">
        <v>2204</v>
      </c>
      <c r="L424" s="22"/>
      <c r="M424" s="23" t="s">
        <v>39</v>
      </c>
      <c r="N424" s="22"/>
      <c r="O424" s="24"/>
      <c r="P424" s="22"/>
      <c r="Q424" s="22"/>
    </row>
    <row r="425" customFormat="false" ht="48" hidden="false" customHeight="true" outlineLevel="0" collapsed="false">
      <c r="A425" s="20" t="s">
        <v>2205</v>
      </c>
      <c r="B425" s="21" t="s">
        <v>73</v>
      </c>
      <c r="C425" s="21" t="s">
        <v>2206</v>
      </c>
      <c r="D425" s="21" t="s">
        <v>2207</v>
      </c>
      <c r="E425" s="21" t="s">
        <v>178</v>
      </c>
      <c r="F425" s="20" t="s">
        <v>79</v>
      </c>
      <c r="G425" s="20" t="s">
        <v>106</v>
      </c>
      <c r="H425" s="21" t="s">
        <v>117</v>
      </c>
      <c r="I425" s="21" t="s">
        <v>2208</v>
      </c>
      <c r="J425" s="21" t="s">
        <v>117</v>
      </c>
      <c r="K425" s="21" t="s">
        <v>2209</v>
      </c>
      <c r="L425" s="22"/>
      <c r="M425" s="23" t="s">
        <v>39</v>
      </c>
      <c r="N425" s="22"/>
      <c r="O425" s="24"/>
      <c r="P425" s="22"/>
      <c r="Q425" s="22"/>
    </row>
    <row r="426" customFormat="false" ht="33.75" hidden="false" customHeight="true" outlineLevel="0" collapsed="false">
      <c r="A426" s="20" t="s">
        <v>2210</v>
      </c>
      <c r="B426" s="21" t="s">
        <v>73</v>
      </c>
      <c r="C426" s="21" t="s">
        <v>2206</v>
      </c>
      <c r="D426" s="21" t="s">
        <v>2211</v>
      </c>
      <c r="E426" s="21" t="s">
        <v>178</v>
      </c>
      <c r="F426" s="20" t="s">
        <v>80</v>
      </c>
      <c r="G426" s="20" t="s">
        <v>136</v>
      </c>
      <c r="H426" s="21" t="s">
        <v>117</v>
      </c>
      <c r="I426" s="21" t="s">
        <v>2212</v>
      </c>
      <c r="J426" s="21" t="s">
        <v>117</v>
      </c>
      <c r="K426" s="21" t="s">
        <v>2213</v>
      </c>
      <c r="L426" s="22"/>
      <c r="M426" s="23" t="s">
        <v>39</v>
      </c>
      <c r="N426" s="22"/>
      <c r="O426" s="24"/>
      <c r="P426" s="22"/>
      <c r="Q426" s="22"/>
    </row>
    <row r="427" customFormat="false" ht="33.75" hidden="false" customHeight="true" outlineLevel="0" collapsed="false">
      <c r="A427" s="20" t="s">
        <v>2214</v>
      </c>
      <c r="B427" s="21" t="s">
        <v>73</v>
      </c>
      <c r="C427" s="21" t="s">
        <v>2206</v>
      </c>
      <c r="D427" s="21" t="s">
        <v>2215</v>
      </c>
      <c r="E427" s="21" t="s">
        <v>178</v>
      </c>
      <c r="F427" s="20" t="s">
        <v>79</v>
      </c>
      <c r="G427" s="20" t="s">
        <v>121</v>
      </c>
      <c r="H427" s="21" t="s">
        <v>117</v>
      </c>
      <c r="I427" s="21" t="s">
        <v>2216</v>
      </c>
      <c r="J427" s="21" t="s">
        <v>117</v>
      </c>
      <c r="K427" s="21" t="s">
        <v>2217</v>
      </c>
      <c r="L427" s="22"/>
      <c r="M427" s="23" t="s">
        <v>39</v>
      </c>
      <c r="N427" s="22"/>
      <c r="O427" s="24"/>
      <c r="P427" s="22"/>
      <c r="Q427" s="22"/>
    </row>
    <row r="428" customFormat="false" ht="33.75" hidden="false" customHeight="true" outlineLevel="0" collapsed="false">
      <c r="A428" s="20" t="s">
        <v>2218</v>
      </c>
      <c r="B428" s="21" t="s">
        <v>73</v>
      </c>
      <c r="C428" s="21" t="s">
        <v>2206</v>
      </c>
      <c r="D428" s="21" t="s">
        <v>2219</v>
      </c>
      <c r="E428" s="21" t="s">
        <v>1806</v>
      </c>
      <c r="F428" s="20" t="s">
        <v>81</v>
      </c>
      <c r="G428" s="20" t="s">
        <v>136</v>
      </c>
      <c r="H428" s="21" t="s">
        <v>117</v>
      </c>
      <c r="I428" s="21" t="s">
        <v>2220</v>
      </c>
      <c r="J428" s="21" t="s">
        <v>117</v>
      </c>
      <c r="K428" s="21" t="s">
        <v>2221</v>
      </c>
      <c r="L428" s="22"/>
      <c r="M428" s="23" t="s">
        <v>39</v>
      </c>
      <c r="N428" s="22"/>
      <c r="O428" s="24"/>
      <c r="P428" s="22"/>
      <c r="Q428" s="22"/>
    </row>
    <row r="429" customFormat="false" ht="48" hidden="false" customHeight="true" outlineLevel="0" collapsed="false">
      <c r="A429" s="20" t="s">
        <v>2222</v>
      </c>
      <c r="B429" s="21" t="s">
        <v>73</v>
      </c>
      <c r="C429" s="21" t="s">
        <v>2223</v>
      </c>
      <c r="D429" s="21" t="s">
        <v>2224</v>
      </c>
      <c r="E429" s="21" t="s">
        <v>2225</v>
      </c>
      <c r="F429" s="20" t="s">
        <v>79</v>
      </c>
      <c r="G429" s="20" t="s">
        <v>121</v>
      </c>
      <c r="H429" s="21" t="s">
        <v>117</v>
      </c>
      <c r="I429" s="21" t="s">
        <v>2226</v>
      </c>
      <c r="J429" s="21" t="s">
        <v>117</v>
      </c>
      <c r="K429" s="21" t="s">
        <v>2227</v>
      </c>
      <c r="L429" s="22"/>
      <c r="M429" s="23" t="s">
        <v>39</v>
      </c>
      <c r="N429" s="22"/>
      <c r="O429" s="24"/>
      <c r="P429" s="22"/>
      <c r="Q429" s="22"/>
    </row>
    <row r="430" customFormat="false" ht="33.75" hidden="false" customHeight="true" outlineLevel="0" collapsed="false">
      <c r="A430" s="20" t="s">
        <v>2228</v>
      </c>
      <c r="B430" s="21" t="s">
        <v>73</v>
      </c>
      <c r="C430" s="21" t="s">
        <v>2223</v>
      </c>
      <c r="D430" s="21" t="s">
        <v>2229</v>
      </c>
      <c r="E430" s="21" t="s">
        <v>1806</v>
      </c>
      <c r="F430" s="20" t="s">
        <v>79</v>
      </c>
      <c r="G430" s="20" t="s">
        <v>121</v>
      </c>
      <c r="H430" s="21" t="s">
        <v>2230</v>
      </c>
      <c r="I430" s="21" t="s">
        <v>2231</v>
      </c>
      <c r="J430" s="21" t="s">
        <v>117</v>
      </c>
      <c r="K430" s="21" t="s">
        <v>2232</v>
      </c>
      <c r="L430" s="22"/>
      <c r="M430" s="23" t="s">
        <v>39</v>
      </c>
      <c r="N430" s="22"/>
      <c r="O430" s="24"/>
      <c r="P430" s="22"/>
      <c r="Q430" s="22"/>
    </row>
    <row r="431" customFormat="false" ht="48" hidden="false" customHeight="true" outlineLevel="0" collapsed="false">
      <c r="A431" s="20" t="s">
        <v>2233</v>
      </c>
      <c r="B431" s="21" t="s">
        <v>73</v>
      </c>
      <c r="C431" s="21" t="s">
        <v>2234</v>
      </c>
      <c r="D431" s="21" t="s">
        <v>2235</v>
      </c>
      <c r="E431" s="21" t="s">
        <v>2236</v>
      </c>
      <c r="F431" s="20" t="s">
        <v>81</v>
      </c>
      <c r="G431" s="20" t="s">
        <v>106</v>
      </c>
      <c r="H431" s="21" t="s">
        <v>117</v>
      </c>
      <c r="I431" s="21" t="s">
        <v>2237</v>
      </c>
      <c r="J431" s="21" t="s">
        <v>117</v>
      </c>
      <c r="K431" s="21" t="s">
        <v>2238</v>
      </c>
      <c r="L431" s="22"/>
      <c r="M431" s="23" t="s">
        <v>39</v>
      </c>
      <c r="N431" s="22"/>
      <c r="O431" s="24"/>
      <c r="P431" s="22"/>
      <c r="Q431" s="22"/>
    </row>
    <row r="432" customFormat="false" ht="61.5" hidden="false" customHeight="true" outlineLevel="0" collapsed="false">
      <c r="A432" s="20" t="s">
        <v>2239</v>
      </c>
      <c r="B432" s="21" t="s">
        <v>73</v>
      </c>
      <c r="C432" s="21" t="s">
        <v>176</v>
      </c>
      <c r="D432" s="21" t="s">
        <v>2240</v>
      </c>
      <c r="E432" s="21" t="s">
        <v>2241</v>
      </c>
      <c r="F432" s="20" t="s">
        <v>79</v>
      </c>
      <c r="G432" s="20" t="s">
        <v>106</v>
      </c>
      <c r="H432" s="21" t="s">
        <v>2242</v>
      </c>
      <c r="I432" s="21" t="s">
        <v>2243</v>
      </c>
      <c r="J432" s="21" t="s">
        <v>117</v>
      </c>
      <c r="K432" s="21" t="s">
        <v>2244</v>
      </c>
      <c r="L432" s="22"/>
      <c r="M432" s="23" t="s">
        <v>39</v>
      </c>
      <c r="N432" s="22"/>
      <c r="O432" s="24"/>
      <c r="P432" s="22"/>
      <c r="Q432" s="22"/>
    </row>
    <row r="433" customFormat="false" ht="48" hidden="false" customHeight="true" outlineLevel="0" collapsed="false">
      <c r="A433" s="20" t="s">
        <v>2245</v>
      </c>
      <c r="B433" s="21" t="s">
        <v>73</v>
      </c>
      <c r="C433" s="21" t="s">
        <v>176</v>
      </c>
      <c r="D433" s="21" t="s">
        <v>2246</v>
      </c>
      <c r="E433" s="21" t="s">
        <v>178</v>
      </c>
      <c r="F433" s="20" t="s">
        <v>79</v>
      </c>
      <c r="G433" s="20" t="s">
        <v>121</v>
      </c>
      <c r="H433" s="21" t="s">
        <v>117</v>
      </c>
      <c r="I433" s="21" t="s">
        <v>2247</v>
      </c>
      <c r="J433" s="21" t="s">
        <v>117</v>
      </c>
      <c r="K433" s="21" t="s">
        <v>2248</v>
      </c>
      <c r="L433" s="22"/>
      <c r="M433" s="23" t="s">
        <v>39</v>
      </c>
      <c r="N433" s="22"/>
      <c r="O433" s="24"/>
      <c r="P433" s="22"/>
      <c r="Q433" s="22"/>
    </row>
    <row r="434" customFormat="false" ht="33.75" hidden="false" customHeight="true" outlineLevel="0" collapsed="false">
      <c r="A434" s="20" t="s">
        <v>2249</v>
      </c>
      <c r="B434" s="21" t="s">
        <v>73</v>
      </c>
      <c r="C434" s="21" t="s">
        <v>176</v>
      </c>
      <c r="D434" s="21" t="s">
        <v>2250</v>
      </c>
      <c r="E434" s="21" t="s">
        <v>178</v>
      </c>
      <c r="F434" s="20" t="s">
        <v>80</v>
      </c>
      <c r="G434" s="20" t="s">
        <v>106</v>
      </c>
      <c r="H434" s="21" t="s">
        <v>2251</v>
      </c>
      <c r="I434" s="21" t="s">
        <v>2252</v>
      </c>
      <c r="J434" s="21" t="s">
        <v>117</v>
      </c>
      <c r="K434" s="21" t="s">
        <v>2253</v>
      </c>
      <c r="L434" s="22"/>
      <c r="M434" s="23" t="s">
        <v>39</v>
      </c>
      <c r="N434" s="22"/>
      <c r="O434" s="24"/>
      <c r="P434" s="22"/>
      <c r="Q434" s="22"/>
    </row>
    <row r="435" customFormat="false" ht="33.75" hidden="false" customHeight="true" outlineLevel="0" collapsed="false">
      <c r="A435" s="20" t="s">
        <v>2254</v>
      </c>
      <c r="B435" s="21" t="s">
        <v>73</v>
      </c>
      <c r="C435" s="21" t="s">
        <v>176</v>
      </c>
      <c r="D435" s="21" t="s">
        <v>2255</v>
      </c>
      <c r="E435" s="21" t="s">
        <v>459</v>
      </c>
      <c r="F435" s="20" t="s">
        <v>81</v>
      </c>
      <c r="G435" s="20" t="s">
        <v>136</v>
      </c>
      <c r="H435" s="21" t="s">
        <v>2256</v>
      </c>
      <c r="I435" s="21" t="s">
        <v>2257</v>
      </c>
      <c r="J435" s="21" t="s">
        <v>117</v>
      </c>
      <c r="K435" s="21" t="s">
        <v>2258</v>
      </c>
      <c r="L435" s="22"/>
      <c r="M435" s="23" t="s">
        <v>39</v>
      </c>
      <c r="N435" s="22"/>
      <c r="O435" s="24"/>
      <c r="P435" s="22"/>
      <c r="Q435" s="22"/>
    </row>
    <row r="436" customFormat="false" ht="33.75" hidden="false" customHeight="true" outlineLevel="0" collapsed="false">
      <c r="A436" s="20" t="s">
        <v>2259</v>
      </c>
      <c r="B436" s="21" t="s">
        <v>73</v>
      </c>
      <c r="C436" s="21" t="s">
        <v>2260</v>
      </c>
      <c r="D436" s="21" t="s">
        <v>2261</v>
      </c>
      <c r="E436" s="21" t="s">
        <v>459</v>
      </c>
      <c r="F436" s="20" t="s">
        <v>80</v>
      </c>
      <c r="G436" s="20" t="s">
        <v>106</v>
      </c>
      <c r="H436" s="21" t="s">
        <v>117</v>
      </c>
      <c r="I436" s="21" t="s">
        <v>2262</v>
      </c>
      <c r="J436" s="21" t="s">
        <v>117</v>
      </c>
      <c r="K436" s="21" t="s">
        <v>2263</v>
      </c>
      <c r="L436" s="22"/>
      <c r="M436" s="23" t="s">
        <v>39</v>
      </c>
      <c r="N436" s="22"/>
      <c r="O436" s="24"/>
      <c r="P436" s="22"/>
      <c r="Q436" s="22"/>
    </row>
    <row r="437" customFormat="false" ht="48" hidden="false" customHeight="true" outlineLevel="0" collapsed="false">
      <c r="A437" s="20" t="s">
        <v>2264</v>
      </c>
      <c r="B437" s="21" t="s">
        <v>73</v>
      </c>
      <c r="C437" s="21" t="s">
        <v>2260</v>
      </c>
      <c r="D437" s="21" t="s">
        <v>2265</v>
      </c>
      <c r="E437" s="21" t="s">
        <v>459</v>
      </c>
      <c r="F437" s="20" t="s">
        <v>81</v>
      </c>
      <c r="G437" s="20" t="s">
        <v>114</v>
      </c>
      <c r="H437" s="21" t="s">
        <v>117</v>
      </c>
      <c r="I437" s="21" t="s">
        <v>2266</v>
      </c>
      <c r="J437" s="21" t="s">
        <v>117</v>
      </c>
      <c r="K437" s="21" t="s">
        <v>2267</v>
      </c>
      <c r="L437" s="22"/>
      <c r="M437" s="23" t="s">
        <v>39</v>
      </c>
      <c r="N437" s="22"/>
      <c r="O437" s="24"/>
      <c r="P437" s="22"/>
      <c r="Q437" s="22"/>
    </row>
    <row r="438" customFormat="false" ht="33.75" hidden="false" customHeight="true" outlineLevel="0" collapsed="false">
      <c r="A438" s="20" t="s">
        <v>2268</v>
      </c>
      <c r="B438" s="21" t="s">
        <v>73</v>
      </c>
      <c r="C438" s="21" t="s">
        <v>2269</v>
      </c>
      <c r="D438" s="21" t="s">
        <v>2270</v>
      </c>
      <c r="E438" s="21" t="s">
        <v>459</v>
      </c>
      <c r="F438" s="20" t="s">
        <v>81</v>
      </c>
      <c r="G438" s="20" t="s">
        <v>106</v>
      </c>
      <c r="H438" s="21" t="s">
        <v>117</v>
      </c>
      <c r="I438" s="21" t="s">
        <v>2271</v>
      </c>
      <c r="J438" s="21" t="s">
        <v>117</v>
      </c>
      <c r="K438" s="21" t="s">
        <v>2272</v>
      </c>
      <c r="L438" s="22"/>
      <c r="M438" s="23" t="s">
        <v>39</v>
      </c>
      <c r="N438" s="22"/>
      <c r="O438" s="24"/>
      <c r="P438" s="22"/>
      <c r="Q438" s="22"/>
    </row>
    <row r="439" customFormat="false" ht="33.75" hidden="false" customHeight="true" outlineLevel="0" collapsed="false">
      <c r="A439" s="20" t="s">
        <v>2273</v>
      </c>
      <c r="B439" s="21" t="s">
        <v>73</v>
      </c>
      <c r="C439" s="21" t="s">
        <v>2274</v>
      </c>
      <c r="D439" s="21" t="s">
        <v>2275</v>
      </c>
      <c r="E439" s="21" t="s">
        <v>1523</v>
      </c>
      <c r="F439" s="20" t="s">
        <v>80</v>
      </c>
      <c r="G439" s="20" t="s">
        <v>106</v>
      </c>
      <c r="H439" s="21" t="s">
        <v>117</v>
      </c>
      <c r="I439" s="21" t="s">
        <v>2276</v>
      </c>
      <c r="J439" s="21" t="s">
        <v>117</v>
      </c>
      <c r="K439" s="21" t="s">
        <v>2277</v>
      </c>
      <c r="L439" s="22"/>
      <c r="M439" s="23" t="s">
        <v>39</v>
      </c>
      <c r="N439" s="22"/>
      <c r="O439" s="24"/>
      <c r="P439" s="22"/>
      <c r="Q439" s="22"/>
    </row>
    <row r="440" customFormat="false" ht="33.75" hidden="false" customHeight="true" outlineLevel="0" collapsed="false">
      <c r="A440" s="20" t="s">
        <v>2278</v>
      </c>
      <c r="B440" s="21" t="s">
        <v>73</v>
      </c>
      <c r="C440" s="21" t="s">
        <v>361</v>
      </c>
      <c r="D440" s="21" t="s">
        <v>2279</v>
      </c>
      <c r="E440" s="21" t="s">
        <v>459</v>
      </c>
      <c r="F440" s="20" t="s">
        <v>80</v>
      </c>
      <c r="G440" s="20" t="s">
        <v>106</v>
      </c>
      <c r="H440" s="21" t="s">
        <v>2280</v>
      </c>
      <c r="I440" s="21" t="s">
        <v>2281</v>
      </c>
      <c r="J440" s="21" t="s">
        <v>117</v>
      </c>
      <c r="K440" s="21" t="s">
        <v>2282</v>
      </c>
      <c r="L440" s="22"/>
      <c r="M440" s="23" t="s">
        <v>39</v>
      </c>
      <c r="N440" s="22"/>
      <c r="O440" s="24"/>
      <c r="P440" s="22"/>
      <c r="Q440" s="22"/>
    </row>
    <row r="441" customFormat="false" ht="33.75" hidden="false" customHeight="true" outlineLevel="0" collapsed="false">
      <c r="A441" s="20" t="s">
        <v>2283</v>
      </c>
      <c r="B441" s="21" t="s">
        <v>74</v>
      </c>
      <c r="C441" s="21" t="s">
        <v>2284</v>
      </c>
      <c r="D441" s="21" t="s">
        <v>2285</v>
      </c>
      <c r="E441" s="21" t="s">
        <v>178</v>
      </c>
      <c r="F441" s="20" t="s">
        <v>80</v>
      </c>
      <c r="G441" s="20" t="s">
        <v>106</v>
      </c>
      <c r="H441" s="21" t="s">
        <v>2286</v>
      </c>
      <c r="I441" s="21" t="s">
        <v>2287</v>
      </c>
      <c r="J441" s="21" t="s">
        <v>117</v>
      </c>
      <c r="K441" s="21" t="s">
        <v>2288</v>
      </c>
      <c r="L441" s="22"/>
      <c r="M441" s="23" t="s">
        <v>39</v>
      </c>
      <c r="N441" s="22"/>
      <c r="O441" s="24"/>
      <c r="P441" s="22"/>
      <c r="Q441" s="22"/>
    </row>
    <row r="442" customFormat="false" ht="33.75" hidden="false" customHeight="true" outlineLevel="0" collapsed="false">
      <c r="A442" s="20" t="s">
        <v>2289</v>
      </c>
      <c r="B442" s="21" t="s">
        <v>74</v>
      </c>
      <c r="C442" s="21" t="s">
        <v>2284</v>
      </c>
      <c r="D442" s="21" t="s">
        <v>2290</v>
      </c>
      <c r="E442" s="21" t="s">
        <v>178</v>
      </c>
      <c r="F442" s="20" t="s">
        <v>81</v>
      </c>
      <c r="G442" s="20" t="s">
        <v>136</v>
      </c>
      <c r="H442" s="21" t="s">
        <v>117</v>
      </c>
      <c r="I442" s="21" t="s">
        <v>2291</v>
      </c>
      <c r="J442" s="21" t="s">
        <v>117</v>
      </c>
      <c r="K442" s="21" t="s">
        <v>2292</v>
      </c>
      <c r="L442" s="22"/>
      <c r="M442" s="23" t="s">
        <v>39</v>
      </c>
      <c r="N442" s="22"/>
      <c r="O442" s="24"/>
      <c r="P442" s="22"/>
      <c r="Q442" s="22"/>
    </row>
    <row r="443" customFormat="false" ht="33.75" hidden="false" customHeight="true" outlineLevel="0" collapsed="false">
      <c r="A443" s="20" t="s">
        <v>2293</v>
      </c>
      <c r="B443" s="21" t="s">
        <v>74</v>
      </c>
      <c r="C443" s="21" t="s">
        <v>2284</v>
      </c>
      <c r="D443" s="21" t="s">
        <v>2294</v>
      </c>
      <c r="E443" s="21" t="s">
        <v>178</v>
      </c>
      <c r="F443" s="20" t="s">
        <v>81</v>
      </c>
      <c r="G443" s="20" t="s">
        <v>114</v>
      </c>
      <c r="H443" s="21" t="s">
        <v>2295</v>
      </c>
      <c r="I443" s="21" t="s">
        <v>2296</v>
      </c>
      <c r="J443" s="21" t="s">
        <v>117</v>
      </c>
      <c r="K443" s="21" t="s">
        <v>2297</v>
      </c>
      <c r="L443" s="22"/>
      <c r="M443" s="23" t="s">
        <v>39</v>
      </c>
      <c r="N443" s="22"/>
      <c r="O443" s="24"/>
      <c r="P443" s="22"/>
      <c r="Q443" s="22"/>
    </row>
    <row r="444" customFormat="false" ht="33.75" hidden="false" customHeight="true" outlineLevel="0" collapsed="false">
      <c r="A444" s="20" t="s">
        <v>2298</v>
      </c>
      <c r="B444" s="21" t="s">
        <v>74</v>
      </c>
      <c r="C444" s="21" t="s">
        <v>2223</v>
      </c>
      <c r="D444" s="21" t="s">
        <v>2299</v>
      </c>
      <c r="E444" s="21" t="s">
        <v>2300</v>
      </c>
      <c r="F444" s="20" t="s">
        <v>79</v>
      </c>
      <c r="G444" s="20" t="s">
        <v>121</v>
      </c>
      <c r="H444" s="21" t="s">
        <v>117</v>
      </c>
      <c r="I444" s="21" t="s">
        <v>2301</v>
      </c>
      <c r="J444" s="21" t="s">
        <v>117</v>
      </c>
      <c r="K444" s="21" t="s">
        <v>2302</v>
      </c>
      <c r="L444" s="22"/>
      <c r="M444" s="23" t="s">
        <v>39</v>
      </c>
      <c r="N444" s="22"/>
      <c r="O444" s="24"/>
      <c r="P444" s="22"/>
      <c r="Q444" s="22"/>
    </row>
    <row r="445" customFormat="false" ht="33.75" hidden="false" customHeight="true" outlineLevel="0" collapsed="false">
      <c r="A445" s="20" t="s">
        <v>2303</v>
      </c>
      <c r="B445" s="21" t="s">
        <v>74</v>
      </c>
      <c r="C445" s="21" t="s">
        <v>2304</v>
      </c>
      <c r="D445" s="21" t="s">
        <v>2305</v>
      </c>
      <c r="E445" s="21" t="s">
        <v>178</v>
      </c>
      <c r="F445" s="20" t="s">
        <v>81</v>
      </c>
      <c r="G445" s="20" t="s">
        <v>121</v>
      </c>
      <c r="H445" s="21" t="s">
        <v>2306</v>
      </c>
      <c r="I445" s="21" t="s">
        <v>2307</v>
      </c>
      <c r="J445" s="21" t="s">
        <v>117</v>
      </c>
      <c r="K445" s="21" t="s">
        <v>2308</v>
      </c>
      <c r="L445" s="22"/>
      <c r="M445" s="23" t="s">
        <v>39</v>
      </c>
      <c r="N445" s="22"/>
      <c r="O445" s="24"/>
      <c r="P445" s="22"/>
      <c r="Q445" s="22"/>
    </row>
    <row r="446" customFormat="false" ht="33.75" hidden="false" customHeight="true" outlineLevel="0" collapsed="false">
      <c r="A446" s="20" t="s">
        <v>2309</v>
      </c>
      <c r="B446" s="21" t="s">
        <v>75</v>
      </c>
      <c r="C446" s="21" t="s">
        <v>2310</v>
      </c>
      <c r="D446" s="21" t="s">
        <v>2311</v>
      </c>
      <c r="E446" s="21" t="s">
        <v>459</v>
      </c>
      <c r="F446" s="20" t="s">
        <v>81</v>
      </c>
      <c r="G446" s="20" t="s">
        <v>106</v>
      </c>
      <c r="H446" s="21" t="s">
        <v>117</v>
      </c>
      <c r="I446" s="21" t="s">
        <v>2312</v>
      </c>
      <c r="J446" s="21" t="s">
        <v>117</v>
      </c>
      <c r="K446" s="21" t="s">
        <v>2313</v>
      </c>
      <c r="L446" s="22"/>
      <c r="M446" s="23" t="s">
        <v>39</v>
      </c>
      <c r="N446" s="22"/>
      <c r="O446" s="24"/>
      <c r="P446" s="22"/>
      <c r="Q446" s="22"/>
    </row>
    <row r="447" customFormat="false" ht="33.75" hidden="false" customHeight="true" outlineLevel="0" collapsed="false">
      <c r="A447" s="20" t="s">
        <v>2314</v>
      </c>
      <c r="B447" s="21" t="s">
        <v>75</v>
      </c>
      <c r="C447" s="21" t="s">
        <v>2315</v>
      </c>
      <c r="D447" s="21" t="s">
        <v>2316</v>
      </c>
      <c r="E447" s="21" t="s">
        <v>1247</v>
      </c>
      <c r="F447" s="20" t="s">
        <v>80</v>
      </c>
      <c r="G447" s="20" t="s">
        <v>106</v>
      </c>
      <c r="H447" s="21" t="s">
        <v>2317</v>
      </c>
      <c r="I447" s="21" t="s">
        <v>2318</v>
      </c>
      <c r="J447" s="21" t="s">
        <v>117</v>
      </c>
      <c r="K447" s="21" t="s">
        <v>2319</v>
      </c>
      <c r="L447" s="22"/>
      <c r="M447" s="23" t="s">
        <v>39</v>
      </c>
      <c r="N447" s="22"/>
      <c r="O447" s="24"/>
      <c r="P447" s="22"/>
      <c r="Q447" s="22"/>
    </row>
    <row r="448" customFormat="false" ht="33.75" hidden="false" customHeight="true" outlineLevel="0" collapsed="false">
      <c r="A448" s="20" t="s">
        <v>2320</v>
      </c>
      <c r="B448" s="21" t="s">
        <v>75</v>
      </c>
      <c r="C448" s="21" t="s">
        <v>2321</v>
      </c>
      <c r="D448" s="21" t="s">
        <v>2322</v>
      </c>
      <c r="E448" s="21" t="s">
        <v>459</v>
      </c>
      <c r="F448" s="20" t="s">
        <v>80</v>
      </c>
      <c r="G448" s="20" t="s">
        <v>106</v>
      </c>
      <c r="H448" s="21" t="s">
        <v>2323</v>
      </c>
      <c r="I448" s="21" t="s">
        <v>2324</v>
      </c>
      <c r="J448" s="21" t="s">
        <v>117</v>
      </c>
      <c r="K448" s="21" t="s">
        <v>2325</v>
      </c>
      <c r="L448" s="22"/>
      <c r="M448" s="23" t="s">
        <v>39</v>
      </c>
      <c r="N448" s="22"/>
      <c r="O448" s="24"/>
      <c r="P448" s="22"/>
      <c r="Q448" s="22"/>
    </row>
    <row r="449" customFormat="false" ht="33.75" hidden="false" customHeight="true" outlineLevel="0" collapsed="false">
      <c r="A449" s="20" t="s">
        <v>2326</v>
      </c>
      <c r="B449" s="21" t="s">
        <v>75</v>
      </c>
      <c r="C449" s="21" t="s">
        <v>2321</v>
      </c>
      <c r="D449" s="21" t="s">
        <v>2327</v>
      </c>
      <c r="E449" s="21" t="s">
        <v>459</v>
      </c>
      <c r="F449" s="20" t="s">
        <v>81</v>
      </c>
      <c r="G449" s="20" t="s">
        <v>136</v>
      </c>
      <c r="H449" s="21" t="s">
        <v>2328</v>
      </c>
      <c r="I449" s="21" t="s">
        <v>2329</v>
      </c>
      <c r="J449" s="21" t="s">
        <v>117</v>
      </c>
      <c r="K449" s="21" t="s">
        <v>2330</v>
      </c>
      <c r="L449" s="22"/>
      <c r="M449" s="23" t="s">
        <v>39</v>
      </c>
      <c r="N449" s="22"/>
      <c r="O449" s="24"/>
      <c r="P449" s="22"/>
      <c r="Q449" s="22"/>
    </row>
    <row r="450" customFormat="false" ht="33.75" hidden="false" customHeight="true" outlineLevel="0" collapsed="false">
      <c r="A450" s="20" t="s">
        <v>2331</v>
      </c>
      <c r="B450" s="21" t="s">
        <v>75</v>
      </c>
      <c r="C450" s="21" t="s">
        <v>2332</v>
      </c>
      <c r="D450" s="21" t="s">
        <v>2333</v>
      </c>
      <c r="E450" s="21" t="s">
        <v>459</v>
      </c>
      <c r="F450" s="20" t="s">
        <v>81</v>
      </c>
      <c r="G450" s="20" t="s">
        <v>136</v>
      </c>
      <c r="H450" s="21" t="s">
        <v>2334</v>
      </c>
      <c r="I450" s="21" t="s">
        <v>2335</v>
      </c>
      <c r="J450" s="21" t="s">
        <v>117</v>
      </c>
      <c r="K450" s="21" t="s">
        <v>2336</v>
      </c>
      <c r="L450" s="22"/>
      <c r="M450" s="23" t="s">
        <v>39</v>
      </c>
      <c r="N450" s="22"/>
      <c r="O450" s="24"/>
      <c r="P450" s="22"/>
      <c r="Q450" s="22"/>
    </row>
    <row r="451" customFormat="false" ht="33.75" hidden="false" customHeight="true" outlineLevel="0" collapsed="false">
      <c r="A451" s="20" t="s">
        <v>2337</v>
      </c>
      <c r="B451" s="21" t="s">
        <v>75</v>
      </c>
      <c r="C451" s="21" t="s">
        <v>121</v>
      </c>
      <c r="D451" s="21" t="s">
        <v>2338</v>
      </c>
      <c r="E451" s="21" t="s">
        <v>932</v>
      </c>
      <c r="F451" s="20" t="s">
        <v>81</v>
      </c>
      <c r="G451" s="20" t="s">
        <v>121</v>
      </c>
      <c r="H451" s="21" t="s">
        <v>117</v>
      </c>
      <c r="I451" s="21" t="s">
        <v>2339</v>
      </c>
      <c r="J451" s="21" t="s">
        <v>117</v>
      </c>
      <c r="K451" s="21" t="s">
        <v>2340</v>
      </c>
      <c r="L451" s="22"/>
      <c r="M451" s="23" t="s">
        <v>39</v>
      </c>
      <c r="N451" s="22"/>
      <c r="O451" s="24"/>
      <c r="P451" s="22"/>
      <c r="Q451" s="22"/>
    </row>
    <row r="452" customFormat="false" ht="48" hidden="false" customHeight="true" outlineLevel="0" collapsed="false">
      <c r="A452" s="20" t="s">
        <v>2341</v>
      </c>
      <c r="B452" s="21" t="s">
        <v>76</v>
      </c>
      <c r="C452" s="21" t="s">
        <v>2342</v>
      </c>
      <c r="D452" s="21" t="s">
        <v>2343</v>
      </c>
      <c r="E452" s="21" t="s">
        <v>190</v>
      </c>
      <c r="F452" s="20" t="s">
        <v>80</v>
      </c>
      <c r="G452" s="20" t="s">
        <v>114</v>
      </c>
      <c r="H452" s="21" t="s">
        <v>117</v>
      </c>
      <c r="I452" s="21" t="s">
        <v>2344</v>
      </c>
      <c r="J452" s="21" t="s">
        <v>117</v>
      </c>
      <c r="K452" s="21" t="s">
        <v>2345</v>
      </c>
      <c r="L452" s="22"/>
      <c r="M452" s="23" t="s">
        <v>39</v>
      </c>
      <c r="N452" s="22"/>
      <c r="O452" s="24"/>
      <c r="P452" s="22"/>
      <c r="Q452" s="22"/>
    </row>
    <row r="453" customFormat="false" ht="33.75" hidden="false" customHeight="true" outlineLevel="0" collapsed="false">
      <c r="A453" s="20" t="s">
        <v>2346</v>
      </c>
      <c r="B453" s="21" t="s">
        <v>76</v>
      </c>
      <c r="C453" s="21" t="s">
        <v>2342</v>
      </c>
      <c r="D453" s="21" t="s">
        <v>2347</v>
      </c>
      <c r="E453" s="21" t="s">
        <v>1253</v>
      </c>
      <c r="F453" s="20" t="s">
        <v>80</v>
      </c>
      <c r="G453" s="20" t="s">
        <v>121</v>
      </c>
      <c r="H453" s="21" t="s">
        <v>117</v>
      </c>
      <c r="I453" s="21" t="s">
        <v>2348</v>
      </c>
      <c r="J453" s="21" t="s">
        <v>117</v>
      </c>
      <c r="K453" s="21" t="s">
        <v>2349</v>
      </c>
      <c r="L453" s="22"/>
      <c r="M453" s="23" t="s">
        <v>39</v>
      </c>
      <c r="N453" s="22"/>
      <c r="O453" s="24"/>
      <c r="P453" s="22"/>
      <c r="Q453" s="22"/>
    </row>
    <row r="454" customFormat="false" ht="33.75" hidden="false" customHeight="true" outlineLevel="0" collapsed="false">
      <c r="A454" s="20" t="s">
        <v>2350</v>
      </c>
      <c r="B454" s="21" t="s">
        <v>76</v>
      </c>
      <c r="C454" s="21" t="s">
        <v>2342</v>
      </c>
      <c r="D454" s="21" t="s">
        <v>2351</v>
      </c>
      <c r="E454" s="21" t="s">
        <v>190</v>
      </c>
      <c r="F454" s="20" t="s">
        <v>80</v>
      </c>
      <c r="G454" s="20" t="s">
        <v>121</v>
      </c>
      <c r="H454" s="21" t="s">
        <v>117</v>
      </c>
      <c r="I454" s="21" t="s">
        <v>2352</v>
      </c>
      <c r="J454" s="21" t="s">
        <v>117</v>
      </c>
      <c r="K454" s="21" t="s">
        <v>2353</v>
      </c>
      <c r="L454" s="22"/>
      <c r="M454" s="23" t="s">
        <v>39</v>
      </c>
      <c r="N454" s="22"/>
      <c r="O454" s="24"/>
      <c r="P454" s="22"/>
      <c r="Q454" s="22"/>
    </row>
    <row r="455" customFormat="false" ht="33.75" hidden="false" customHeight="true" outlineLevel="0" collapsed="false">
      <c r="A455" s="20" t="s">
        <v>2354</v>
      </c>
      <c r="B455" s="21" t="s">
        <v>76</v>
      </c>
      <c r="C455" s="21" t="s">
        <v>2355</v>
      </c>
      <c r="D455" s="21" t="s">
        <v>2356</v>
      </c>
      <c r="E455" s="21" t="s">
        <v>1806</v>
      </c>
      <c r="F455" s="20" t="s">
        <v>79</v>
      </c>
      <c r="G455" s="20" t="s">
        <v>121</v>
      </c>
      <c r="H455" s="21" t="s">
        <v>117</v>
      </c>
      <c r="I455" s="21" t="s">
        <v>2357</v>
      </c>
      <c r="J455" s="21" t="s">
        <v>117</v>
      </c>
      <c r="K455" s="21" t="s">
        <v>2358</v>
      </c>
      <c r="L455" s="22"/>
      <c r="M455" s="23" t="s">
        <v>39</v>
      </c>
      <c r="N455" s="22"/>
      <c r="O455" s="24"/>
      <c r="P455" s="22"/>
      <c r="Q455" s="22"/>
    </row>
    <row r="456" customFormat="false" ht="33.75" hidden="false" customHeight="true" outlineLevel="0" collapsed="false">
      <c r="A456" s="20" t="s">
        <v>2359</v>
      </c>
      <c r="B456" s="21" t="s">
        <v>76</v>
      </c>
      <c r="C456" s="21" t="s">
        <v>2355</v>
      </c>
      <c r="D456" s="21" t="s">
        <v>2360</v>
      </c>
      <c r="E456" s="21" t="s">
        <v>1806</v>
      </c>
      <c r="F456" s="20" t="s">
        <v>81</v>
      </c>
      <c r="G456" s="20" t="s">
        <v>121</v>
      </c>
      <c r="H456" s="21" t="s">
        <v>117</v>
      </c>
      <c r="I456" s="21" t="s">
        <v>2361</v>
      </c>
      <c r="J456" s="21" t="s">
        <v>117</v>
      </c>
      <c r="K456" s="21" t="s">
        <v>2362</v>
      </c>
      <c r="L456" s="22"/>
      <c r="M456" s="23" t="s">
        <v>39</v>
      </c>
      <c r="N456" s="22"/>
      <c r="O456" s="24"/>
      <c r="P456" s="22"/>
      <c r="Q456" s="22"/>
    </row>
    <row r="457" customFormat="false" ht="33.75" hidden="false" customHeight="true" outlineLevel="0" collapsed="false">
      <c r="A457" s="20" t="s">
        <v>2363</v>
      </c>
      <c r="B457" s="21" t="s">
        <v>76</v>
      </c>
      <c r="C457" s="21" t="s">
        <v>2364</v>
      </c>
      <c r="D457" s="21" t="s">
        <v>2365</v>
      </c>
      <c r="E457" s="21" t="s">
        <v>1806</v>
      </c>
      <c r="F457" s="20" t="s">
        <v>80</v>
      </c>
      <c r="G457" s="20" t="s">
        <v>2364</v>
      </c>
      <c r="H457" s="21" t="s">
        <v>2366</v>
      </c>
      <c r="I457" s="21" t="s">
        <v>2367</v>
      </c>
      <c r="J457" s="21" t="s">
        <v>117</v>
      </c>
      <c r="K457" s="21" t="s">
        <v>2368</v>
      </c>
      <c r="L457" s="22"/>
      <c r="M457" s="23" t="s">
        <v>39</v>
      </c>
      <c r="N457" s="22"/>
      <c r="O457" s="24"/>
      <c r="P457" s="22"/>
      <c r="Q457" s="22"/>
    </row>
    <row r="458" customFormat="false" ht="33.75" hidden="false" customHeight="true" outlineLevel="0" collapsed="false">
      <c r="A458" s="20" t="s">
        <v>2369</v>
      </c>
      <c r="B458" s="21" t="s">
        <v>76</v>
      </c>
      <c r="C458" s="21" t="s">
        <v>2364</v>
      </c>
      <c r="D458" s="21" t="s">
        <v>2370</v>
      </c>
      <c r="E458" s="21" t="s">
        <v>2371</v>
      </c>
      <c r="F458" s="20" t="s">
        <v>80</v>
      </c>
      <c r="G458" s="20" t="s">
        <v>2364</v>
      </c>
      <c r="H458" s="21" t="s">
        <v>117</v>
      </c>
      <c r="I458" s="21" t="s">
        <v>2372</v>
      </c>
      <c r="J458" s="21" t="s">
        <v>117</v>
      </c>
      <c r="K458" s="21" t="s">
        <v>2373</v>
      </c>
      <c r="L458" s="22"/>
      <c r="M458" s="23" t="s">
        <v>39</v>
      </c>
      <c r="N458" s="22"/>
      <c r="O458" s="24"/>
      <c r="P458" s="22"/>
      <c r="Q458" s="22"/>
    </row>
    <row r="459" customFormat="false" ht="33.75" hidden="false" customHeight="true" outlineLevel="0" collapsed="false">
      <c r="A459" s="20" t="s">
        <v>2374</v>
      </c>
      <c r="B459" s="21" t="s">
        <v>76</v>
      </c>
      <c r="C459" s="21" t="s">
        <v>2375</v>
      </c>
      <c r="D459" s="21" t="s">
        <v>2376</v>
      </c>
      <c r="E459" s="21" t="s">
        <v>764</v>
      </c>
      <c r="F459" s="20" t="s">
        <v>81</v>
      </c>
      <c r="G459" s="20" t="s">
        <v>2364</v>
      </c>
      <c r="H459" s="21" t="s">
        <v>117</v>
      </c>
      <c r="I459" s="21" t="s">
        <v>2377</v>
      </c>
      <c r="J459" s="21" t="s">
        <v>117</v>
      </c>
      <c r="K459" s="21" t="s">
        <v>2378</v>
      </c>
      <c r="L459" s="22"/>
      <c r="M459" s="23" t="s">
        <v>39</v>
      </c>
      <c r="N459" s="22"/>
      <c r="O459" s="24"/>
      <c r="P459" s="22"/>
      <c r="Q459" s="22"/>
    </row>
    <row r="460" customFormat="false" ht="33.75" hidden="false" customHeight="true" outlineLevel="0" collapsed="false">
      <c r="A460" s="20" t="s">
        <v>2379</v>
      </c>
      <c r="B460" s="21" t="s">
        <v>76</v>
      </c>
      <c r="C460" s="21" t="s">
        <v>2380</v>
      </c>
      <c r="D460" s="21" t="s">
        <v>2381</v>
      </c>
      <c r="E460" s="21" t="s">
        <v>1806</v>
      </c>
      <c r="F460" s="20" t="s">
        <v>80</v>
      </c>
      <c r="G460" s="20" t="s">
        <v>136</v>
      </c>
      <c r="H460" s="21" t="s">
        <v>2382</v>
      </c>
      <c r="I460" s="21" t="s">
        <v>2383</v>
      </c>
      <c r="J460" s="21" t="s">
        <v>117</v>
      </c>
      <c r="K460" s="21" t="s">
        <v>2384</v>
      </c>
      <c r="L460" s="22"/>
      <c r="M460" s="23" t="s">
        <v>39</v>
      </c>
      <c r="N460" s="22"/>
      <c r="O460" s="24"/>
      <c r="P460" s="22"/>
      <c r="Q460" s="22"/>
    </row>
    <row r="461" customFormat="false" ht="33.75" hidden="false" customHeight="true" outlineLevel="0" collapsed="false">
      <c r="A461" s="20" t="s">
        <v>2385</v>
      </c>
      <c r="B461" s="21" t="s">
        <v>76</v>
      </c>
      <c r="C461" s="21" t="s">
        <v>2386</v>
      </c>
      <c r="D461" s="21" t="s">
        <v>2387</v>
      </c>
      <c r="E461" s="21" t="s">
        <v>1806</v>
      </c>
      <c r="F461" s="20" t="s">
        <v>80</v>
      </c>
      <c r="G461" s="20" t="s">
        <v>2388</v>
      </c>
      <c r="H461" s="21" t="s">
        <v>117</v>
      </c>
      <c r="I461" s="21" t="s">
        <v>2389</v>
      </c>
      <c r="J461" s="21" t="s">
        <v>117</v>
      </c>
      <c r="K461" s="21" t="s">
        <v>2390</v>
      </c>
      <c r="L461" s="22"/>
      <c r="M461" s="23" t="s">
        <v>39</v>
      </c>
      <c r="N461" s="22"/>
      <c r="O461" s="24"/>
      <c r="P461" s="22"/>
      <c r="Q461" s="22"/>
    </row>
    <row r="462" customFormat="false" ht="33.75" hidden="false" customHeight="true" outlineLevel="0" collapsed="false">
      <c r="A462" s="20" t="s">
        <v>2391</v>
      </c>
      <c r="B462" s="21" t="s">
        <v>76</v>
      </c>
      <c r="C462" s="21" t="s">
        <v>2386</v>
      </c>
      <c r="D462" s="21" t="s">
        <v>2392</v>
      </c>
      <c r="E462" s="21" t="s">
        <v>2393</v>
      </c>
      <c r="F462" s="20" t="s">
        <v>80</v>
      </c>
      <c r="G462" s="20" t="s">
        <v>2388</v>
      </c>
      <c r="H462" s="21" t="s">
        <v>2394</v>
      </c>
      <c r="I462" s="21" t="s">
        <v>2395</v>
      </c>
      <c r="J462" s="21" t="s">
        <v>117</v>
      </c>
      <c r="K462" s="21" t="s">
        <v>2396</v>
      </c>
      <c r="L462" s="22"/>
      <c r="M462" s="23" t="s">
        <v>39</v>
      </c>
      <c r="N462" s="22"/>
      <c r="O462" s="24"/>
      <c r="P462" s="22"/>
      <c r="Q462" s="22"/>
    </row>
    <row r="463" customFormat="false" ht="48" hidden="false" customHeight="true" outlineLevel="0" collapsed="false">
      <c r="A463" s="20" t="s">
        <v>2397</v>
      </c>
      <c r="B463" s="21" t="s">
        <v>76</v>
      </c>
      <c r="C463" s="21" t="s">
        <v>121</v>
      </c>
      <c r="D463" s="21" t="s">
        <v>2398</v>
      </c>
      <c r="E463" s="21" t="s">
        <v>1806</v>
      </c>
      <c r="F463" s="20" t="s">
        <v>80</v>
      </c>
      <c r="G463" s="20" t="s">
        <v>121</v>
      </c>
      <c r="H463" s="21" t="s">
        <v>2399</v>
      </c>
      <c r="I463" s="21" t="s">
        <v>2400</v>
      </c>
      <c r="J463" s="21" t="s">
        <v>117</v>
      </c>
      <c r="K463" s="21" t="s">
        <v>2401</v>
      </c>
      <c r="L463" s="22"/>
      <c r="M463" s="23" t="s">
        <v>39</v>
      </c>
      <c r="N463" s="22"/>
      <c r="O463" s="24"/>
      <c r="P463" s="22"/>
      <c r="Q463" s="22"/>
    </row>
    <row r="464" customFormat="false" ht="33.75" hidden="false" customHeight="true" outlineLevel="0" collapsed="false">
      <c r="A464" s="20" t="s">
        <v>2402</v>
      </c>
      <c r="B464" s="21" t="s">
        <v>76</v>
      </c>
      <c r="C464" s="21" t="s">
        <v>121</v>
      </c>
      <c r="D464" s="21" t="s">
        <v>2403</v>
      </c>
      <c r="E464" s="21" t="s">
        <v>105</v>
      </c>
      <c r="F464" s="20" t="s">
        <v>81</v>
      </c>
      <c r="G464" s="20" t="s">
        <v>121</v>
      </c>
      <c r="H464" s="21" t="s">
        <v>117</v>
      </c>
      <c r="I464" s="21" t="s">
        <v>2404</v>
      </c>
      <c r="J464" s="21" t="s">
        <v>117</v>
      </c>
      <c r="K464" s="21" t="s">
        <v>2405</v>
      </c>
      <c r="L464" s="22"/>
      <c r="M464" s="23" t="s">
        <v>39</v>
      </c>
      <c r="N464" s="22"/>
      <c r="O464" s="24"/>
      <c r="P464" s="22"/>
      <c r="Q464" s="22"/>
    </row>
  </sheetData>
  <autoFilter ref="A1:Q464"/>
  <conditionalFormatting sqref="M2:M3000">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"Blocked"</formula>
    </cfRule>
    <cfRule type="cellIs" priority="5" operator="equal" aboveAverage="0" equalAverage="0" bottom="0" percent="0" rank="0" text="" dxfId="11">
      <formula>"N/A"</formula>
    </cfRule>
  </conditionalFormatting>
  <conditionalFormatting sqref="F2:F3000">
    <cfRule type="cellIs" priority="6" operator="equal" aboveAverage="0" equalAverage="0" bottom="0" percent="0" rank="0" text="" dxfId="12">
      <formula>"P1"</formula>
    </cfRule>
  </conditionalFormatting>
  <dataValidations count="2">
    <dataValidation allowBlank="true" error="Choose a status from the list" errorStyle="stop" operator="between" showDropDown="false" showErrorMessage="false" showInputMessage="false" sqref="M2:M1464" type="list">
      <formula1>"Not Run,Pass,Fail,Blocked,N/A"</formula1>
      <formula2>0</formula2>
    </dataValidation>
    <dataValidation allowBlank="true" errorStyle="stop" operator="greaterThan" showDropDown="false" showErrorMessage="false" showInputMessage="false" sqref="O2:O1464" type="date">
      <formula1>DATE(2020,1,1)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FA9"/>
    <pageSetUpPr fitToPage="tru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40"/>
    <col collapsed="false" customWidth="true" hidden="false" outlineLevel="0" max="4" min="4" style="0" width="70"/>
    <col collapsed="false" customWidth="true" hidden="false" outlineLevel="0" max="5" min="5" style="0" width="30"/>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11"/>
    <col collapsed="false" customWidth="true" hidden="false" outlineLevel="0" max="10" min="10" style="0" width="28"/>
  </cols>
  <sheetData>
    <row r="1" customFormat="false" ht="30" hidden="false" customHeight="true" outlineLevel="0" collapsed="false">
      <c r="A1" s="7" t="s">
        <v>2406</v>
      </c>
      <c r="B1" s="7" t="s">
        <v>2407</v>
      </c>
      <c r="C1" s="7" t="s">
        <v>2408</v>
      </c>
      <c r="D1" s="7" t="s">
        <v>2409</v>
      </c>
      <c r="E1" s="7" t="s">
        <v>2410</v>
      </c>
      <c r="F1" s="7" t="s">
        <v>97</v>
      </c>
      <c r="G1" s="7" t="s">
        <v>98</v>
      </c>
      <c r="H1" s="7" t="s">
        <v>99</v>
      </c>
      <c r="I1" s="7" t="s">
        <v>100</v>
      </c>
      <c r="J1" s="7" t="s">
        <v>2411</v>
      </c>
    </row>
    <row r="2" customFormat="false" ht="231.75" hidden="false" customHeight="true" outlineLevel="0" collapsed="false">
      <c r="A2" s="21" t="s">
        <v>2412</v>
      </c>
      <c r="B2" s="25" t="s">
        <v>2413</v>
      </c>
      <c r="C2" s="21" t="s">
        <v>2414</v>
      </c>
      <c r="D2" s="21" t="s">
        <v>2415</v>
      </c>
      <c r="E2" s="21" t="s">
        <v>2416</v>
      </c>
      <c r="F2" s="22" t="s">
        <v>39</v>
      </c>
      <c r="G2" s="22"/>
      <c r="H2" s="22"/>
      <c r="I2" s="22"/>
      <c r="J2" s="22"/>
    </row>
    <row r="3" customFormat="false" ht="91.5" hidden="false" customHeight="true" outlineLevel="0" collapsed="false">
      <c r="A3" s="21" t="s">
        <v>2417</v>
      </c>
      <c r="B3" s="25" t="s">
        <v>2418</v>
      </c>
      <c r="C3" s="21" t="s">
        <v>2419</v>
      </c>
      <c r="D3" s="21" t="s">
        <v>2420</v>
      </c>
      <c r="E3" s="21" t="s">
        <v>2421</v>
      </c>
      <c r="F3" s="22" t="s">
        <v>39</v>
      </c>
      <c r="G3" s="22"/>
      <c r="H3" s="22"/>
      <c r="I3" s="22"/>
      <c r="J3" s="22"/>
    </row>
    <row r="4" customFormat="false" ht="246" hidden="false" customHeight="true" outlineLevel="0" collapsed="false">
      <c r="A4" s="21" t="s">
        <v>2422</v>
      </c>
      <c r="B4" s="25" t="s">
        <v>2423</v>
      </c>
      <c r="C4" s="21" t="s">
        <v>2424</v>
      </c>
      <c r="D4" s="21" t="s">
        <v>2425</v>
      </c>
      <c r="E4" s="21" t="s">
        <v>2426</v>
      </c>
      <c r="F4" s="22" t="s">
        <v>39</v>
      </c>
      <c r="G4" s="22"/>
      <c r="H4" s="22"/>
      <c r="I4" s="22"/>
      <c r="J4" s="22"/>
    </row>
    <row r="5" customFormat="false" ht="105.75" hidden="false" customHeight="true" outlineLevel="0" collapsed="false">
      <c r="A5" s="21" t="s">
        <v>2427</v>
      </c>
      <c r="B5" s="25" t="s">
        <v>2428</v>
      </c>
      <c r="C5" s="21" t="s">
        <v>2429</v>
      </c>
      <c r="D5" s="21" t="s">
        <v>2430</v>
      </c>
      <c r="E5" s="21" t="s">
        <v>2431</v>
      </c>
      <c r="F5" s="22" t="s">
        <v>39</v>
      </c>
      <c r="G5" s="22"/>
      <c r="H5" s="22"/>
      <c r="I5" s="22"/>
      <c r="J5" s="22"/>
    </row>
    <row r="6" customFormat="false" ht="105.75" hidden="false" customHeight="true" outlineLevel="0" collapsed="false">
      <c r="A6" s="21" t="s">
        <v>2432</v>
      </c>
      <c r="B6" s="25" t="s">
        <v>2433</v>
      </c>
      <c r="C6" s="21" t="s">
        <v>2434</v>
      </c>
      <c r="D6" s="21" t="s">
        <v>2435</v>
      </c>
      <c r="E6" s="21" t="s">
        <v>2436</v>
      </c>
      <c r="F6" s="22" t="s">
        <v>39</v>
      </c>
      <c r="G6" s="22"/>
      <c r="H6" s="22"/>
      <c r="I6" s="22"/>
      <c r="J6" s="22"/>
    </row>
    <row r="7" customFormat="false" ht="105.75" hidden="false" customHeight="true" outlineLevel="0" collapsed="false">
      <c r="A7" s="21" t="s">
        <v>2437</v>
      </c>
      <c r="B7" s="25" t="s">
        <v>2438</v>
      </c>
      <c r="C7" s="21" t="s">
        <v>2439</v>
      </c>
      <c r="D7" s="21" t="s">
        <v>2440</v>
      </c>
      <c r="E7" s="21" t="s">
        <v>2441</v>
      </c>
      <c r="F7" s="22" t="s">
        <v>39</v>
      </c>
      <c r="G7" s="22"/>
      <c r="H7" s="22"/>
      <c r="I7" s="22"/>
      <c r="J7" s="22"/>
    </row>
    <row r="8" customFormat="false" ht="63.75" hidden="false" customHeight="true" outlineLevel="0" collapsed="false">
      <c r="A8" s="21" t="s">
        <v>2442</v>
      </c>
      <c r="B8" s="25" t="s">
        <v>2443</v>
      </c>
      <c r="C8" s="21" t="s">
        <v>2444</v>
      </c>
      <c r="D8" s="21" t="s">
        <v>2445</v>
      </c>
      <c r="E8" s="21" t="s">
        <v>1542</v>
      </c>
      <c r="F8" s="22" t="s">
        <v>39</v>
      </c>
      <c r="G8" s="22"/>
      <c r="H8" s="22"/>
      <c r="I8" s="22"/>
      <c r="J8" s="22"/>
    </row>
    <row r="9" customFormat="false" ht="63.75" hidden="false" customHeight="true" outlineLevel="0" collapsed="false">
      <c r="A9" s="21" t="s">
        <v>2446</v>
      </c>
      <c r="B9" s="25" t="s">
        <v>1767</v>
      </c>
      <c r="C9" s="21" t="s">
        <v>2447</v>
      </c>
      <c r="D9" s="21" t="s">
        <v>2448</v>
      </c>
      <c r="E9" s="21" t="s">
        <v>2449</v>
      </c>
      <c r="F9" s="22" t="s">
        <v>39</v>
      </c>
      <c r="G9" s="22"/>
      <c r="H9" s="22"/>
      <c r="I9" s="22"/>
      <c r="J9" s="22"/>
    </row>
    <row r="10" customFormat="false" ht="78" hidden="false" customHeight="true" outlineLevel="0" collapsed="false">
      <c r="A10" s="21" t="s">
        <v>2450</v>
      </c>
      <c r="B10" s="25" t="s">
        <v>2451</v>
      </c>
      <c r="C10" s="21" t="s">
        <v>2452</v>
      </c>
      <c r="D10" s="21" t="s">
        <v>2453</v>
      </c>
      <c r="E10" s="21" t="s">
        <v>2454</v>
      </c>
      <c r="F10" s="22" t="s">
        <v>39</v>
      </c>
      <c r="G10" s="22"/>
      <c r="H10" s="22"/>
      <c r="I10" s="22"/>
      <c r="J10" s="22"/>
    </row>
    <row r="11" customFormat="false" ht="63.75" hidden="false" customHeight="true" outlineLevel="0" collapsed="false">
      <c r="A11" s="21" t="s">
        <v>2455</v>
      </c>
      <c r="B11" s="25" t="s">
        <v>2456</v>
      </c>
      <c r="C11" s="21" t="s">
        <v>2457</v>
      </c>
      <c r="D11" s="21" t="s">
        <v>2458</v>
      </c>
      <c r="E11" s="21" t="s">
        <v>2459</v>
      </c>
      <c r="F11" s="22" t="s">
        <v>39</v>
      </c>
      <c r="G11" s="22"/>
      <c r="H11" s="22"/>
      <c r="I11" s="22"/>
      <c r="J11" s="22"/>
    </row>
  </sheetData>
  <conditionalFormatting sqref="F2:F200">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"Blocked"</formula>
    </cfRule>
    <cfRule type="cellIs" priority="5" operator="equal" aboveAverage="0" equalAverage="0" bottom="0" percent="0" rank="0" text="" dxfId="11">
      <formula>"N/A"</formula>
    </cfRule>
  </conditionalFormatting>
  <dataValidations count="1">
    <dataValidation allowBlank="true" errorStyle="stop" operator="between" showDropDown="false" showErrorMessage="false" showInputMessage="false" sqref="F2:F200" type="list">
      <formula1>"Not Run,Pass,Fail,Blocked,N/A"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FA9"/>
    <pageSetUpPr fitToPage="tru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5"/>
    <col collapsed="false" customWidth="true" hidden="false" outlineLevel="0" max="3" min="3" style="0" width="55"/>
    <col collapsed="false" customWidth="true" hidden="false" outlineLevel="0" max="4" min="4" style="0" width="22"/>
    <col collapsed="false" customWidth="true" hidden="false" outlineLevel="0" max="5" min="5" style="0" width="28"/>
  </cols>
  <sheetData>
    <row r="1" customFormat="false" ht="30" hidden="false" customHeight="true" outlineLevel="0" collapsed="false">
      <c r="A1" s="7" t="s">
        <v>2460</v>
      </c>
      <c r="B1" s="7" t="s">
        <v>2461</v>
      </c>
      <c r="C1" s="7" t="s">
        <v>2462</v>
      </c>
      <c r="D1" s="7" t="s">
        <v>2463</v>
      </c>
      <c r="E1" s="7" t="s">
        <v>2464</v>
      </c>
    </row>
    <row r="2" customFormat="false" ht="43.5" hidden="false" customHeight="true" outlineLevel="0" collapsed="false">
      <c r="A2" s="25" t="s">
        <v>2465</v>
      </c>
      <c r="B2" s="21" t="s">
        <v>2466</v>
      </c>
      <c r="C2" s="21" t="s">
        <v>2467</v>
      </c>
      <c r="D2" s="22"/>
      <c r="E2" s="22"/>
    </row>
    <row r="3" customFormat="false" ht="43.5" hidden="false" customHeight="true" outlineLevel="0" collapsed="false">
      <c r="A3" s="25" t="s">
        <v>2468</v>
      </c>
      <c r="B3" s="21" t="s">
        <v>2469</v>
      </c>
      <c r="C3" s="21" t="s">
        <v>117</v>
      </c>
      <c r="D3" s="22"/>
      <c r="E3" s="22"/>
    </row>
    <row r="4" customFormat="false" ht="43.5" hidden="false" customHeight="true" outlineLevel="0" collapsed="false">
      <c r="A4" s="25" t="s">
        <v>2470</v>
      </c>
      <c r="B4" s="21" t="s">
        <v>2471</v>
      </c>
      <c r="C4" s="21" t="s">
        <v>2472</v>
      </c>
      <c r="D4" s="22"/>
      <c r="E4" s="22"/>
    </row>
    <row r="5" customFormat="false" ht="43.5" hidden="false" customHeight="true" outlineLevel="0" collapsed="false">
      <c r="A5" s="25" t="s">
        <v>664</v>
      </c>
      <c r="B5" s="21" t="s">
        <v>2473</v>
      </c>
      <c r="C5" s="21" t="s">
        <v>2474</v>
      </c>
      <c r="D5" s="22"/>
      <c r="E5" s="22"/>
    </row>
    <row r="6" customFormat="false" ht="43.5" hidden="false" customHeight="true" outlineLevel="0" collapsed="false">
      <c r="A6" s="25" t="s">
        <v>1253</v>
      </c>
      <c r="B6" s="21" t="s">
        <v>2475</v>
      </c>
      <c r="C6" s="21" t="s">
        <v>2476</v>
      </c>
      <c r="D6" s="22"/>
      <c r="E6" s="22"/>
    </row>
    <row r="7" customFormat="false" ht="43.5" hidden="false" customHeight="true" outlineLevel="0" collapsed="false">
      <c r="A7" s="25" t="s">
        <v>2477</v>
      </c>
      <c r="B7" s="21" t="s">
        <v>2478</v>
      </c>
      <c r="C7" s="21" t="s">
        <v>2479</v>
      </c>
      <c r="D7" s="22"/>
      <c r="E7" s="22"/>
    </row>
    <row r="8" customFormat="false" ht="43.5" hidden="false" customHeight="true" outlineLevel="0" collapsed="false">
      <c r="A8" s="25" t="s">
        <v>877</v>
      </c>
      <c r="B8" s="21" t="s">
        <v>2480</v>
      </c>
      <c r="C8" s="21" t="s">
        <v>2481</v>
      </c>
      <c r="D8" s="22"/>
      <c r="E8" s="22"/>
    </row>
    <row r="9" customFormat="false" ht="43.5" hidden="false" customHeight="true" outlineLevel="0" collapsed="false">
      <c r="A9" s="25" t="s">
        <v>2482</v>
      </c>
      <c r="B9" s="21" t="s">
        <v>2483</v>
      </c>
      <c r="C9" s="21" t="s">
        <v>2484</v>
      </c>
      <c r="D9" s="22"/>
      <c r="E9" s="22"/>
    </row>
    <row r="10" customFormat="false" ht="43.5" hidden="false" customHeight="true" outlineLevel="0" collapsed="false">
      <c r="A10" s="25" t="s">
        <v>2485</v>
      </c>
      <c r="B10" s="21" t="s">
        <v>2486</v>
      </c>
      <c r="C10" s="21" t="s">
        <v>117</v>
      </c>
      <c r="D10" s="22"/>
      <c r="E10" s="22"/>
    </row>
    <row r="11" customFormat="false" ht="43.5" hidden="false" customHeight="true" outlineLevel="0" collapsed="false">
      <c r="A11" s="25" t="s">
        <v>2487</v>
      </c>
      <c r="B11" s="21" t="s">
        <v>2488</v>
      </c>
      <c r="C11" s="21" t="s">
        <v>117</v>
      </c>
      <c r="D11" s="22"/>
      <c r="E11" s="22"/>
    </row>
    <row r="12" customFormat="false" ht="43.5" hidden="false" customHeight="true" outlineLevel="0" collapsed="false">
      <c r="A12" s="25" t="s">
        <v>897</v>
      </c>
      <c r="B12" s="21" t="s">
        <v>2489</v>
      </c>
      <c r="C12" s="21" t="s">
        <v>117</v>
      </c>
      <c r="D12" s="22"/>
      <c r="E12" s="22"/>
    </row>
    <row r="13" customFormat="false" ht="43.5" hidden="false" customHeight="true" outlineLevel="0" collapsed="false">
      <c r="A13" s="25" t="s">
        <v>2490</v>
      </c>
      <c r="B13" s="21" t="s">
        <v>2491</v>
      </c>
      <c r="C13" s="21" t="s">
        <v>2492</v>
      </c>
      <c r="D13" s="22"/>
      <c r="E13" s="22"/>
    </row>
    <row r="16" customFormat="false" ht="15" hidden="false" customHeight="false" outlineLevel="0" collapsed="false">
      <c r="A16" s="5" t="s">
        <v>2493</v>
      </c>
    </row>
    <row r="17" customFormat="false" ht="30" hidden="false" customHeight="true" outlineLevel="0" collapsed="false">
      <c r="A17" s="7" t="s">
        <v>2494</v>
      </c>
      <c r="B17" s="7" t="s">
        <v>2495</v>
      </c>
      <c r="C17" s="7" t="s">
        <v>2496</v>
      </c>
    </row>
    <row r="18" customFormat="false" ht="30" hidden="false" customHeight="true" outlineLevel="0" collapsed="false">
      <c r="A18" s="25" t="s">
        <v>2497</v>
      </c>
      <c r="B18" s="21" t="s">
        <v>2498</v>
      </c>
      <c r="C18" s="22"/>
    </row>
    <row r="19" customFormat="false" ht="30" hidden="false" customHeight="true" outlineLevel="0" collapsed="false">
      <c r="A19" s="25" t="s">
        <v>2499</v>
      </c>
      <c r="B19" s="21" t="s">
        <v>2500</v>
      </c>
      <c r="C19" s="22"/>
    </row>
    <row r="20" customFormat="false" ht="30" hidden="false" customHeight="true" outlineLevel="0" collapsed="false">
      <c r="A20" s="25" t="s">
        <v>2501</v>
      </c>
      <c r="B20" s="21" t="s">
        <v>2502</v>
      </c>
      <c r="C20" s="22"/>
    </row>
    <row r="21" customFormat="false" ht="30" hidden="false" customHeight="true" outlineLevel="0" collapsed="false">
      <c r="A21" s="25" t="s">
        <v>2503</v>
      </c>
      <c r="B21" s="21" t="s">
        <v>2504</v>
      </c>
      <c r="C21" s="22"/>
    </row>
    <row r="22" customFormat="false" ht="30" hidden="false" customHeight="true" outlineLevel="0" collapsed="false">
      <c r="A22" s="25" t="s">
        <v>2505</v>
      </c>
      <c r="B22" s="21" t="s">
        <v>2506</v>
      </c>
      <c r="C22" s="22"/>
    </row>
    <row r="23" customFormat="false" ht="30" hidden="false" customHeight="true" outlineLevel="0" collapsed="false">
      <c r="A23" s="25" t="s">
        <v>2507</v>
      </c>
      <c r="B23" s="21" t="s">
        <v>2508</v>
      </c>
      <c r="C23" s="22"/>
    </row>
    <row r="24" customFormat="false" ht="30" hidden="false" customHeight="true" outlineLevel="0" collapsed="false">
      <c r="A24" s="25" t="s">
        <v>2509</v>
      </c>
      <c r="B24" s="21" t="s">
        <v>2510</v>
      </c>
      <c r="C24" s="22"/>
    </row>
    <row r="25" customFormat="false" ht="30" hidden="false" customHeight="true" outlineLevel="0" collapsed="false">
      <c r="A25" s="25" t="s">
        <v>2511</v>
      </c>
      <c r="B25" s="21" t="s">
        <v>2512</v>
      </c>
      <c r="C25" s="22"/>
    </row>
    <row r="26" customFormat="false" ht="30" hidden="false" customHeight="true" outlineLevel="0" collapsed="false">
      <c r="A26" s="25" t="s">
        <v>2513</v>
      </c>
      <c r="B26" s="21" t="s">
        <v>2514</v>
      </c>
      <c r="C26" s="2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FA9"/>
    <pageSetUpPr fitToPage="tru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2"/>
    <col collapsed="false" customWidth="true" hidden="false" outlineLevel="0" max="4" min="4" style="0" width="18"/>
    <col collapsed="false" customWidth="true" hidden="false" outlineLevel="0" max="5" min="5" style="0" width="11"/>
    <col collapsed="false" customWidth="true" hidden="false" outlineLevel="0" max="6" min="6" style="0" width="40"/>
    <col collapsed="false" customWidth="true" hidden="false" outlineLevel="0" max="7" min="7" style="0" width="30"/>
    <col collapsed="false" customWidth="true" hidden="false" outlineLevel="0" max="8" min="8" style="0" width="36"/>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3" min="12" style="0" width="14"/>
    <col collapsed="false" customWidth="true" hidden="false" outlineLevel="0" max="14" min="14" style="0" width="13"/>
  </cols>
  <sheetData>
    <row r="1" customFormat="false" ht="15" hidden="false" customHeight="false" outlineLevel="0" collapsed="false">
      <c r="A1" s="5" t="s">
        <v>2515</v>
      </c>
    </row>
    <row r="2" customFormat="false" ht="30" hidden="false" customHeight="true" outlineLevel="0" collapsed="false">
      <c r="A2" s="7" t="s">
        <v>100</v>
      </c>
      <c r="B2" s="7" t="s">
        <v>88</v>
      </c>
      <c r="C2" s="7" t="s">
        <v>2516</v>
      </c>
      <c r="D2" s="7" t="s">
        <v>33</v>
      </c>
      <c r="E2" s="7" t="s">
        <v>2517</v>
      </c>
      <c r="F2" s="7" t="s">
        <v>2518</v>
      </c>
      <c r="G2" s="7" t="s">
        <v>2519</v>
      </c>
      <c r="H2" s="7" t="s">
        <v>2520</v>
      </c>
      <c r="I2" s="7" t="s">
        <v>97</v>
      </c>
      <c r="J2" s="7" t="s">
        <v>2521</v>
      </c>
      <c r="K2" s="7" t="s">
        <v>2522</v>
      </c>
      <c r="L2" s="7" t="s">
        <v>2523</v>
      </c>
      <c r="M2" s="7" t="s">
        <v>2524</v>
      </c>
      <c r="N2" s="7" t="s">
        <v>2525</v>
      </c>
    </row>
    <row r="3" customFormat="false" ht="60" hidden="false" customHeight="true" outlineLevel="0" collapsed="false">
      <c r="A3" s="26" t="s">
        <v>2526</v>
      </c>
      <c r="B3" s="26" t="s">
        <v>1803</v>
      </c>
      <c r="C3" s="26" t="s">
        <v>2527</v>
      </c>
      <c r="D3" s="26" t="s">
        <v>66</v>
      </c>
      <c r="E3" s="26" t="s">
        <v>2528</v>
      </c>
      <c r="F3" s="26" t="s">
        <v>2529</v>
      </c>
      <c r="G3" s="26" t="s">
        <v>2530</v>
      </c>
      <c r="H3" s="26" t="s">
        <v>2531</v>
      </c>
      <c r="I3" s="26" t="s">
        <v>2532</v>
      </c>
      <c r="J3" s="26" t="s">
        <v>2533</v>
      </c>
      <c r="K3" s="26" t="s">
        <v>2534</v>
      </c>
      <c r="L3" s="26" t="s">
        <v>2535</v>
      </c>
      <c r="M3" s="26"/>
      <c r="N3" s="26"/>
    </row>
    <row r="4" customFormat="false" ht="15" hidden="false" customHeight="false" outlineLevel="0" collapsed="false">
      <c r="A4" s="6"/>
      <c r="B4" s="6"/>
      <c r="C4" s="6"/>
      <c r="D4" s="6"/>
      <c r="E4" s="6"/>
      <c r="F4" s="6"/>
      <c r="G4" s="6"/>
      <c r="H4" s="6"/>
      <c r="I4" s="6"/>
      <c r="J4" s="6"/>
      <c r="K4" s="6"/>
      <c r="L4" s="6"/>
      <c r="M4" s="6"/>
      <c r="N4" s="6"/>
    </row>
    <row r="5" customFormat="false" ht="15" hidden="false" customHeight="false" outlineLevel="0" collapsed="false">
      <c r="A5" s="6"/>
      <c r="B5" s="6"/>
      <c r="C5" s="6"/>
      <c r="D5" s="6"/>
      <c r="E5" s="6"/>
      <c r="F5" s="6"/>
      <c r="G5" s="6"/>
      <c r="H5" s="6"/>
      <c r="I5" s="6"/>
      <c r="J5" s="6"/>
      <c r="K5" s="6"/>
      <c r="L5" s="6"/>
      <c r="M5" s="6"/>
      <c r="N5" s="6"/>
    </row>
    <row r="6" customFormat="false" ht="15" hidden="false" customHeight="false" outlineLevel="0" collapsed="false">
      <c r="A6" s="6"/>
      <c r="B6" s="6"/>
      <c r="C6" s="6"/>
      <c r="D6" s="6"/>
      <c r="E6" s="6"/>
      <c r="F6" s="6"/>
      <c r="G6" s="6"/>
      <c r="H6" s="6"/>
      <c r="I6" s="6"/>
      <c r="J6" s="6"/>
      <c r="K6" s="6"/>
      <c r="L6" s="6"/>
      <c r="M6" s="6"/>
      <c r="N6" s="6"/>
    </row>
    <row r="7" customFormat="false" ht="15" hidden="false" customHeight="false" outlineLevel="0" collapsed="false">
      <c r="A7" s="6"/>
      <c r="B7" s="6"/>
      <c r="C7" s="6"/>
      <c r="D7" s="6"/>
      <c r="E7" s="6"/>
      <c r="F7" s="6"/>
      <c r="G7" s="6"/>
      <c r="H7" s="6"/>
      <c r="I7" s="6"/>
      <c r="J7" s="6"/>
      <c r="K7" s="6"/>
      <c r="L7" s="6"/>
      <c r="M7" s="6"/>
      <c r="N7" s="6"/>
    </row>
    <row r="8" customFormat="false" ht="15" hidden="false" customHeight="false" outlineLevel="0" collapsed="false">
      <c r="A8" s="6"/>
      <c r="B8" s="6"/>
      <c r="C8" s="6"/>
      <c r="D8" s="6"/>
      <c r="E8" s="6"/>
      <c r="F8" s="6"/>
      <c r="G8" s="6"/>
      <c r="H8" s="6"/>
      <c r="I8" s="6"/>
      <c r="J8" s="6"/>
      <c r="K8" s="6"/>
      <c r="L8" s="6"/>
      <c r="M8" s="6"/>
      <c r="N8" s="6"/>
    </row>
    <row r="9" customFormat="false" ht="15" hidden="false" customHeight="false" outlineLevel="0" collapsed="false">
      <c r="A9" s="6"/>
      <c r="B9" s="6"/>
      <c r="C9" s="6"/>
      <c r="D9" s="6"/>
      <c r="E9" s="6"/>
      <c r="F9" s="6"/>
      <c r="G9" s="6"/>
      <c r="H9" s="6"/>
      <c r="I9" s="6"/>
      <c r="J9" s="6"/>
      <c r="K9" s="6"/>
      <c r="L9" s="6"/>
      <c r="M9" s="6"/>
      <c r="N9" s="6"/>
    </row>
    <row r="10" customFormat="false" ht="15" hidden="false" customHeight="false" outlineLevel="0" collapsed="false">
      <c r="A10" s="6"/>
      <c r="B10" s="6"/>
      <c r="C10" s="6"/>
      <c r="D10" s="6"/>
      <c r="E10" s="6"/>
      <c r="F10" s="6"/>
      <c r="G10" s="6"/>
      <c r="H10" s="6"/>
      <c r="I10" s="6"/>
      <c r="J10" s="6"/>
      <c r="K10" s="6"/>
      <c r="L10" s="6"/>
      <c r="M10" s="6"/>
      <c r="N10" s="6"/>
    </row>
    <row r="11" customFormat="false" ht="15" hidden="false" customHeight="false" outlineLevel="0" collapsed="false">
      <c r="A11" s="6"/>
      <c r="B11" s="6"/>
      <c r="C11" s="6"/>
      <c r="D11" s="6"/>
      <c r="E11" s="6"/>
      <c r="F11" s="6"/>
      <c r="G11" s="6"/>
      <c r="H11" s="6"/>
      <c r="I11" s="6"/>
      <c r="J11" s="6"/>
      <c r="K11" s="6"/>
      <c r="L11" s="6"/>
      <c r="M11" s="6"/>
      <c r="N11" s="6"/>
    </row>
    <row r="12" customFormat="false" ht="15" hidden="false" customHeight="false" outlineLevel="0" collapsed="false">
      <c r="A12" s="6"/>
      <c r="B12" s="6"/>
      <c r="C12" s="6"/>
      <c r="D12" s="6"/>
      <c r="E12" s="6"/>
      <c r="F12" s="6"/>
      <c r="G12" s="6"/>
      <c r="H12" s="6"/>
      <c r="I12" s="6"/>
      <c r="J12" s="6"/>
      <c r="K12" s="6"/>
      <c r="L12" s="6"/>
      <c r="M12" s="6"/>
      <c r="N12" s="6"/>
    </row>
    <row r="13" customFormat="false" ht="15" hidden="false" customHeight="false" outlineLevel="0" collapsed="false">
      <c r="A13" s="6"/>
      <c r="B13" s="6"/>
      <c r="C13" s="6"/>
      <c r="D13" s="6"/>
      <c r="E13" s="6"/>
      <c r="F13" s="6"/>
      <c r="G13" s="6"/>
      <c r="H13" s="6"/>
      <c r="I13" s="6"/>
      <c r="J13" s="6"/>
      <c r="K13" s="6"/>
      <c r="L13" s="6"/>
      <c r="M13" s="6"/>
      <c r="N13" s="6"/>
    </row>
    <row r="14" customFormat="false" ht="15" hidden="false" customHeight="false" outlineLevel="0" collapsed="false">
      <c r="A14" s="6"/>
      <c r="B14" s="6"/>
      <c r="C14" s="6"/>
      <c r="D14" s="6"/>
      <c r="E14" s="6"/>
      <c r="F14" s="6"/>
      <c r="G14" s="6"/>
      <c r="H14" s="6"/>
      <c r="I14" s="6"/>
      <c r="J14" s="6"/>
      <c r="K14" s="6"/>
      <c r="L14" s="6"/>
      <c r="M14" s="6"/>
      <c r="N14" s="6"/>
    </row>
    <row r="15" customFormat="false" ht="15" hidden="false" customHeight="false" outlineLevel="0" collapsed="false">
      <c r="A15" s="6"/>
      <c r="B15" s="6"/>
      <c r="C15" s="6"/>
      <c r="D15" s="6"/>
      <c r="E15" s="6"/>
      <c r="F15" s="6"/>
      <c r="G15" s="6"/>
      <c r="H15" s="6"/>
      <c r="I15" s="6"/>
      <c r="J15" s="6"/>
      <c r="K15" s="6"/>
      <c r="L15" s="6"/>
      <c r="M15" s="6"/>
      <c r="N15" s="6"/>
    </row>
    <row r="16" customFormat="false" ht="15" hidden="false" customHeight="false" outlineLevel="0" collapsed="false">
      <c r="A16" s="6"/>
      <c r="B16" s="6"/>
      <c r="C16" s="6"/>
      <c r="D16" s="6"/>
      <c r="E16" s="6"/>
      <c r="F16" s="6"/>
      <c r="G16" s="6"/>
      <c r="H16" s="6"/>
      <c r="I16" s="6"/>
      <c r="J16" s="6"/>
      <c r="K16" s="6"/>
      <c r="L16" s="6"/>
      <c r="M16" s="6"/>
      <c r="N16" s="6"/>
    </row>
    <row r="17" customFormat="false" ht="15" hidden="false" customHeight="false" outlineLevel="0" collapsed="false">
      <c r="A17" s="6"/>
      <c r="B17" s="6"/>
      <c r="C17" s="6"/>
      <c r="D17" s="6"/>
      <c r="E17" s="6"/>
      <c r="F17" s="6"/>
      <c r="G17" s="6"/>
      <c r="H17" s="6"/>
      <c r="I17" s="6"/>
      <c r="J17" s="6"/>
      <c r="K17" s="6"/>
      <c r="L17" s="6"/>
      <c r="M17" s="6"/>
      <c r="N17" s="6"/>
    </row>
    <row r="18" customFormat="false" ht="15" hidden="false" customHeight="false" outlineLevel="0" collapsed="false">
      <c r="A18" s="6"/>
      <c r="B18" s="6"/>
      <c r="C18" s="6"/>
      <c r="D18" s="6"/>
      <c r="E18" s="6"/>
      <c r="F18" s="6"/>
      <c r="G18" s="6"/>
      <c r="H18" s="6"/>
      <c r="I18" s="6"/>
      <c r="J18" s="6"/>
      <c r="K18" s="6"/>
      <c r="L18" s="6"/>
      <c r="M18" s="6"/>
      <c r="N18" s="6"/>
    </row>
    <row r="19" customFormat="false" ht="15" hidden="false" customHeight="false" outlineLevel="0" collapsed="false">
      <c r="A19" s="6"/>
      <c r="B19" s="6"/>
      <c r="C19" s="6"/>
      <c r="D19" s="6"/>
      <c r="E19" s="6"/>
      <c r="F19" s="6"/>
      <c r="G19" s="6"/>
      <c r="H19" s="6"/>
      <c r="I19" s="6"/>
      <c r="J19" s="6"/>
      <c r="K19" s="6"/>
      <c r="L19" s="6"/>
      <c r="M19" s="6"/>
      <c r="N19" s="6"/>
    </row>
    <row r="20" customFormat="false" ht="15" hidden="false" customHeight="false" outlineLevel="0" collapsed="false">
      <c r="A20" s="6"/>
      <c r="B20" s="6"/>
      <c r="C20" s="6"/>
      <c r="D20" s="6"/>
      <c r="E20" s="6"/>
      <c r="F20" s="6"/>
      <c r="G20" s="6"/>
      <c r="H20" s="6"/>
      <c r="I20" s="6"/>
      <c r="J20" s="6"/>
      <c r="K20" s="6"/>
      <c r="L20" s="6"/>
      <c r="M20" s="6"/>
      <c r="N20" s="6"/>
    </row>
    <row r="21" customFormat="false" ht="15" hidden="false" customHeight="false" outlineLevel="0" collapsed="false">
      <c r="A21" s="6"/>
      <c r="B21" s="6"/>
      <c r="C21" s="6"/>
      <c r="D21" s="6"/>
      <c r="E21" s="6"/>
      <c r="F21" s="6"/>
      <c r="G21" s="6"/>
      <c r="H21" s="6"/>
      <c r="I21" s="6"/>
      <c r="J21" s="6"/>
      <c r="K21" s="6"/>
      <c r="L21" s="6"/>
      <c r="M21" s="6"/>
      <c r="N21" s="6"/>
    </row>
    <row r="22" customFormat="false" ht="15" hidden="false" customHeight="false" outlineLevel="0" collapsed="false">
      <c r="A22" s="6"/>
      <c r="B22" s="6"/>
      <c r="C22" s="6"/>
      <c r="D22" s="6"/>
      <c r="E22" s="6"/>
      <c r="F22" s="6"/>
      <c r="G22" s="6"/>
      <c r="H22" s="6"/>
      <c r="I22" s="6"/>
      <c r="J22" s="6"/>
      <c r="K22" s="6"/>
      <c r="L22" s="6"/>
      <c r="M22" s="6"/>
      <c r="N22" s="6"/>
    </row>
    <row r="23" customFormat="false" ht="15" hidden="false" customHeight="false" outlineLevel="0" collapsed="false">
      <c r="A23" s="6"/>
      <c r="B23" s="6"/>
      <c r="C23" s="6"/>
      <c r="D23" s="6"/>
      <c r="E23" s="6"/>
      <c r="F23" s="6"/>
      <c r="G23" s="6"/>
      <c r="H23" s="6"/>
      <c r="I23" s="6"/>
      <c r="J23" s="6"/>
      <c r="K23" s="6"/>
      <c r="L23" s="6"/>
      <c r="M23" s="6"/>
      <c r="N23" s="6"/>
    </row>
    <row r="24" customFormat="false" ht="15" hidden="false" customHeight="false" outlineLevel="0" collapsed="false">
      <c r="A24" s="6"/>
      <c r="B24" s="6"/>
      <c r="C24" s="6"/>
      <c r="D24" s="6"/>
      <c r="E24" s="6"/>
      <c r="F24" s="6"/>
      <c r="G24" s="6"/>
      <c r="H24" s="6"/>
      <c r="I24" s="6"/>
      <c r="J24" s="6"/>
      <c r="K24" s="6"/>
      <c r="L24" s="6"/>
      <c r="M24" s="6"/>
      <c r="N24" s="6"/>
    </row>
    <row r="25" customFormat="false" ht="15" hidden="false" customHeight="false" outlineLevel="0" collapsed="false">
      <c r="A25" s="6"/>
      <c r="B25" s="6"/>
      <c r="C25" s="6"/>
      <c r="D25" s="6"/>
      <c r="E25" s="6"/>
      <c r="F25" s="6"/>
      <c r="G25" s="6"/>
      <c r="H25" s="6"/>
      <c r="I25" s="6"/>
      <c r="J25" s="6"/>
      <c r="K25" s="6"/>
      <c r="L25" s="6"/>
      <c r="M25" s="6"/>
      <c r="N25" s="6"/>
    </row>
    <row r="26" customFormat="false" ht="15" hidden="false" customHeight="false" outlineLevel="0" collapsed="false">
      <c r="A26" s="6"/>
      <c r="B26" s="6"/>
      <c r="C26" s="6"/>
      <c r="D26" s="6"/>
      <c r="E26" s="6"/>
      <c r="F26" s="6"/>
      <c r="G26" s="6"/>
      <c r="H26" s="6"/>
      <c r="I26" s="6"/>
      <c r="J26" s="6"/>
      <c r="K26" s="6"/>
      <c r="L26" s="6"/>
      <c r="M26" s="6"/>
      <c r="N26" s="6"/>
    </row>
    <row r="27" customFormat="false" ht="15" hidden="false" customHeight="false" outlineLevel="0" collapsed="false">
      <c r="A27" s="6"/>
      <c r="B27" s="6"/>
      <c r="C27" s="6"/>
      <c r="D27" s="6"/>
      <c r="E27" s="6"/>
      <c r="F27" s="6"/>
      <c r="G27" s="6"/>
      <c r="H27" s="6"/>
      <c r="I27" s="6"/>
      <c r="J27" s="6"/>
      <c r="K27" s="6"/>
      <c r="L27" s="6"/>
      <c r="M27" s="6"/>
      <c r="N27" s="6"/>
    </row>
    <row r="28" customFormat="false" ht="15" hidden="false" customHeight="false" outlineLevel="0" collapsed="false">
      <c r="A28" s="6"/>
      <c r="B28" s="6"/>
      <c r="C28" s="6"/>
      <c r="D28" s="6"/>
      <c r="E28" s="6"/>
      <c r="F28" s="6"/>
      <c r="G28" s="6"/>
      <c r="H28" s="6"/>
      <c r="I28" s="6"/>
      <c r="J28" s="6"/>
      <c r="K28" s="6"/>
      <c r="L28" s="6"/>
      <c r="M28" s="6"/>
      <c r="N28" s="6"/>
    </row>
    <row r="29" customFormat="false" ht="15" hidden="false" customHeight="false" outlineLevel="0" collapsed="false">
      <c r="A29" s="6"/>
      <c r="B29" s="6"/>
      <c r="C29" s="6"/>
      <c r="D29" s="6"/>
      <c r="E29" s="6"/>
      <c r="F29" s="6"/>
      <c r="G29" s="6"/>
      <c r="H29" s="6"/>
      <c r="I29" s="6"/>
      <c r="J29" s="6"/>
      <c r="K29" s="6"/>
      <c r="L29" s="6"/>
      <c r="M29" s="6"/>
      <c r="N29" s="6"/>
    </row>
    <row r="30" customFormat="false" ht="15" hidden="false" customHeight="false" outlineLevel="0" collapsed="false">
      <c r="A30" s="6"/>
      <c r="B30" s="6"/>
      <c r="C30" s="6"/>
      <c r="D30" s="6"/>
      <c r="E30" s="6"/>
      <c r="F30" s="6"/>
      <c r="G30" s="6"/>
      <c r="H30" s="6"/>
      <c r="I30" s="6"/>
      <c r="J30" s="6"/>
      <c r="K30" s="6"/>
      <c r="L30" s="6"/>
      <c r="M30" s="6"/>
      <c r="N30" s="6"/>
    </row>
    <row r="31" customFormat="false" ht="15" hidden="false" customHeight="false" outlineLevel="0" collapsed="false">
      <c r="A31" s="6"/>
      <c r="B31" s="6"/>
      <c r="C31" s="6"/>
      <c r="D31" s="6"/>
      <c r="E31" s="6"/>
      <c r="F31" s="6"/>
      <c r="G31" s="6"/>
      <c r="H31" s="6"/>
      <c r="I31" s="6"/>
      <c r="J31" s="6"/>
      <c r="K31" s="6"/>
      <c r="L31" s="6"/>
      <c r="M31" s="6"/>
      <c r="N31" s="6"/>
    </row>
    <row r="32" customFormat="false" ht="15" hidden="false" customHeight="false" outlineLevel="0" collapsed="false">
      <c r="A32" s="6"/>
      <c r="B32" s="6"/>
      <c r="C32" s="6"/>
      <c r="D32" s="6"/>
      <c r="E32" s="6"/>
      <c r="F32" s="6"/>
      <c r="G32" s="6"/>
      <c r="H32" s="6"/>
      <c r="I32" s="6"/>
      <c r="J32" s="6"/>
      <c r="K32" s="6"/>
      <c r="L32" s="6"/>
      <c r="M32" s="6"/>
      <c r="N32" s="6"/>
    </row>
    <row r="33" customFormat="false" ht="15" hidden="false" customHeight="false" outlineLevel="0" collapsed="false">
      <c r="A33" s="6"/>
      <c r="B33" s="6"/>
      <c r="C33" s="6"/>
      <c r="D33" s="6"/>
      <c r="E33" s="6"/>
      <c r="F33" s="6"/>
      <c r="G33" s="6"/>
      <c r="H33" s="6"/>
      <c r="I33" s="6"/>
      <c r="J33" s="6"/>
      <c r="K33" s="6"/>
      <c r="L33" s="6"/>
      <c r="M33" s="6"/>
      <c r="N33" s="6"/>
    </row>
    <row r="34" customFormat="false" ht="15" hidden="false" customHeight="false" outlineLevel="0" collapsed="false">
      <c r="A34" s="6"/>
      <c r="B34" s="6"/>
      <c r="C34" s="6"/>
      <c r="D34" s="6"/>
      <c r="E34" s="6"/>
      <c r="F34" s="6"/>
      <c r="G34" s="6"/>
      <c r="H34" s="6"/>
      <c r="I34" s="6"/>
      <c r="J34" s="6"/>
      <c r="K34" s="6"/>
      <c r="L34" s="6"/>
      <c r="M34" s="6"/>
      <c r="N34" s="6"/>
    </row>
    <row r="35" customFormat="false" ht="15" hidden="false" customHeight="false" outlineLevel="0" collapsed="false">
      <c r="A35" s="6"/>
      <c r="B35" s="6"/>
      <c r="C35" s="6"/>
      <c r="D35" s="6"/>
      <c r="E35" s="6"/>
      <c r="F35" s="6"/>
      <c r="G35" s="6"/>
      <c r="H35" s="6"/>
      <c r="I35" s="6"/>
      <c r="J35" s="6"/>
      <c r="K35" s="6"/>
      <c r="L35" s="6"/>
      <c r="M35" s="6"/>
      <c r="N35" s="6"/>
    </row>
    <row r="36" customFormat="false" ht="15" hidden="false" customHeight="false" outlineLevel="0" collapsed="false">
      <c r="A36" s="6"/>
      <c r="B36" s="6"/>
      <c r="C36" s="6"/>
      <c r="D36" s="6"/>
      <c r="E36" s="6"/>
      <c r="F36" s="6"/>
      <c r="G36" s="6"/>
      <c r="H36" s="6"/>
      <c r="I36" s="6"/>
      <c r="J36" s="6"/>
      <c r="K36" s="6"/>
      <c r="L36" s="6"/>
      <c r="M36" s="6"/>
      <c r="N36" s="6"/>
    </row>
    <row r="37" customFormat="false" ht="15" hidden="false" customHeight="false" outlineLevel="0" collapsed="false">
      <c r="A37" s="6"/>
      <c r="B37" s="6"/>
      <c r="C37" s="6"/>
      <c r="D37" s="6"/>
      <c r="E37" s="6"/>
      <c r="F37" s="6"/>
      <c r="G37" s="6"/>
      <c r="H37" s="6"/>
      <c r="I37" s="6"/>
      <c r="J37" s="6"/>
      <c r="K37" s="6"/>
      <c r="L37" s="6"/>
      <c r="M37" s="6"/>
      <c r="N37" s="6"/>
    </row>
    <row r="38" customFormat="false" ht="15" hidden="false" customHeight="false" outlineLevel="0" collapsed="false">
      <c r="A38" s="6"/>
      <c r="B38" s="6"/>
      <c r="C38" s="6"/>
      <c r="D38" s="6"/>
      <c r="E38" s="6"/>
      <c r="F38" s="6"/>
      <c r="G38" s="6"/>
      <c r="H38" s="6"/>
      <c r="I38" s="6"/>
      <c r="J38" s="6"/>
      <c r="K38" s="6"/>
      <c r="L38" s="6"/>
      <c r="M38" s="6"/>
      <c r="N38" s="6"/>
    </row>
    <row r="39" customFormat="false" ht="15" hidden="false" customHeight="false" outlineLevel="0" collapsed="false">
      <c r="A39" s="6"/>
      <c r="B39" s="6"/>
      <c r="C39" s="6"/>
      <c r="D39" s="6"/>
      <c r="E39" s="6"/>
      <c r="F39" s="6"/>
      <c r="G39" s="6"/>
      <c r="H39" s="6"/>
      <c r="I39" s="6"/>
      <c r="J39" s="6"/>
      <c r="K39" s="6"/>
      <c r="L39" s="6"/>
      <c r="M39" s="6"/>
      <c r="N39" s="6"/>
    </row>
    <row r="40" customFormat="false" ht="15" hidden="false" customHeight="false" outlineLevel="0" collapsed="false">
      <c r="A40" s="6"/>
      <c r="B40" s="6"/>
      <c r="C40" s="6"/>
      <c r="D40" s="6"/>
      <c r="E40" s="6"/>
      <c r="F40" s="6"/>
      <c r="G40" s="6"/>
      <c r="H40" s="6"/>
      <c r="I40" s="6"/>
      <c r="J40" s="6"/>
      <c r="K40" s="6"/>
      <c r="L40" s="6"/>
      <c r="M40" s="6"/>
      <c r="N40" s="6"/>
    </row>
    <row r="41" customFormat="false" ht="15" hidden="false" customHeight="false" outlineLevel="0" collapsed="false">
      <c r="A41" s="6"/>
      <c r="B41" s="6"/>
      <c r="C41" s="6"/>
      <c r="D41" s="6"/>
      <c r="E41" s="6"/>
      <c r="F41" s="6"/>
      <c r="G41" s="6"/>
      <c r="H41" s="6"/>
      <c r="I41" s="6"/>
      <c r="J41" s="6"/>
      <c r="K41" s="6"/>
      <c r="L41" s="6"/>
      <c r="M41" s="6"/>
      <c r="N41" s="6"/>
    </row>
    <row r="42" customFormat="false" ht="15" hidden="false" customHeight="false" outlineLevel="0" collapsed="false">
      <c r="A42" s="6"/>
      <c r="B42" s="6"/>
      <c r="C42" s="6"/>
      <c r="D42" s="6"/>
      <c r="E42" s="6"/>
      <c r="F42" s="6"/>
      <c r="G42" s="6"/>
      <c r="H42" s="6"/>
      <c r="I42" s="6"/>
      <c r="J42" s="6"/>
      <c r="K42" s="6"/>
      <c r="L42" s="6"/>
      <c r="M42" s="6"/>
      <c r="N42" s="6"/>
    </row>
    <row r="43" customFormat="false" ht="15" hidden="false" customHeight="false" outlineLevel="0" collapsed="false">
      <c r="A43" s="6"/>
      <c r="B43" s="6"/>
      <c r="C43" s="6"/>
      <c r="D43" s="6"/>
      <c r="E43" s="6"/>
      <c r="F43" s="6"/>
      <c r="G43" s="6"/>
      <c r="H43" s="6"/>
      <c r="I43" s="6"/>
      <c r="J43" s="6"/>
      <c r="K43" s="6"/>
      <c r="L43" s="6"/>
      <c r="M43" s="6"/>
      <c r="N43" s="6"/>
    </row>
    <row r="44" customFormat="false" ht="15" hidden="false" customHeight="false" outlineLevel="0" collapsed="false">
      <c r="A44" s="6"/>
      <c r="B44" s="6"/>
      <c r="C44" s="6"/>
      <c r="D44" s="6"/>
      <c r="E44" s="6"/>
      <c r="F44" s="6"/>
      <c r="G44" s="6"/>
      <c r="H44" s="6"/>
      <c r="I44" s="6"/>
      <c r="J44" s="6"/>
      <c r="K44" s="6"/>
      <c r="L44" s="6"/>
      <c r="M44" s="6"/>
      <c r="N44" s="6"/>
    </row>
    <row r="45" customFormat="false" ht="15" hidden="false" customHeight="false" outlineLevel="0" collapsed="false">
      <c r="A45" s="6"/>
      <c r="B45" s="6"/>
      <c r="C45" s="6"/>
      <c r="D45" s="6"/>
      <c r="E45" s="6"/>
      <c r="F45" s="6"/>
      <c r="G45" s="6"/>
      <c r="H45" s="6"/>
      <c r="I45" s="6"/>
      <c r="J45" s="6"/>
      <c r="K45" s="6"/>
      <c r="L45" s="6"/>
      <c r="M45" s="6"/>
      <c r="N45" s="6"/>
    </row>
    <row r="46" customFormat="false" ht="15" hidden="false" customHeight="false" outlineLevel="0" collapsed="false">
      <c r="A46" s="6"/>
      <c r="B46" s="6"/>
      <c r="C46" s="6"/>
      <c r="D46" s="6"/>
      <c r="E46" s="6"/>
      <c r="F46" s="6"/>
      <c r="G46" s="6"/>
      <c r="H46" s="6"/>
      <c r="I46" s="6"/>
      <c r="J46" s="6"/>
      <c r="K46" s="6"/>
      <c r="L46" s="6"/>
      <c r="M46" s="6"/>
      <c r="N46" s="6"/>
    </row>
    <row r="47" customFormat="false" ht="15" hidden="false" customHeight="false" outlineLevel="0" collapsed="false">
      <c r="A47" s="6"/>
      <c r="B47" s="6"/>
      <c r="C47" s="6"/>
      <c r="D47" s="6"/>
      <c r="E47" s="6"/>
      <c r="F47" s="6"/>
      <c r="G47" s="6"/>
      <c r="H47" s="6"/>
      <c r="I47" s="6"/>
      <c r="J47" s="6"/>
      <c r="K47" s="6"/>
      <c r="L47" s="6"/>
      <c r="M47" s="6"/>
      <c r="N47" s="6"/>
    </row>
    <row r="48" customFormat="false" ht="15" hidden="false" customHeight="false" outlineLevel="0" collapsed="false">
      <c r="A48" s="6"/>
      <c r="B48" s="6"/>
      <c r="C48" s="6"/>
      <c r="D48" s="6"/>
      <c r="E48" s="6"/>
      <c r="F48" s="6"/>
      <c r="G48" s="6"/>
      <c r="H48" s="6"/>
      <c r="I48" s="6"/>
      <c r="J48" s="6"/>
      <c r="K48" s="6"/>
      <c r="L48" s="6"/>
      <c r="M48" s="6"/>
      <c r="N48" s="6"/>
    </row>
    <row r="49" customFormat="false" ht="15" hidden="false" customHeight="false" outlineLevel="0" collapsed="false">
      <c r="A49" s="6"/>
      <c r="B49" s="6"/>
      <c r="C49" s="6"/>
      <c r="D49" s="6"/>
      <c r="E49" s="6"/>
      <c r="F49" s="6"/>
      <c r="G49" s="6"/>
      <c r="H49" s="6"/>
      <c r="I49" s="6"/>
      <c r="J49" s="6"/>
      <c r="K49" s="6"/>
      <c r="L49" s="6"/>
      <c r="M49" s="6"/>
      <c r="N49" s="6"/>
    </row>
    <row r="50" customFormat="false" ht="15" hidden="false" customHeight="false" outlineLevel="0" collapsed="false">
      <c r="A50" s="6"/>
      <c r="B50" s="6"/>
      <c r="C50" s="6"/>
      <c r="D50" s="6"/>
      <c r="E50" s="6"/>
      <c r="F50" s="6"/>
      <c r="G50" s="6"/>
      <c r="H50" s="6"/>
      <c r="I50" s="6"/>
      <c r="J50" s="6"/>
      <c r="K50" s="6"/>
      <c r="L50" s="6"/>
      <c r="M50" s="6"/>
      <c r="N50" s="6"/>
    </row>
    <row r="51" customFormat="false" ht="15" hidden="false" customHeight="false" outlineLevel="0" collapsed="false">
      <c r="A51" s="6"/>
      <c r="B51" s="6"/>
      <c r="C51" s="6"/>
      <c r="D51" s="6"/>
      <c r="E51" s="6"/>
      <c r="F51" s="6"/>
      <c r="G51" s="6"/>
      <c r="H51" s="6"/>
      <c r="I51" s="6"/>
      <c r="J51" s="6"/>
      <c r="K51" s="6"/>
      <c r="L51" s="6"/>
      <c r="M51" s="6"/>
      <c r="N51" s="6"/>
    </row>
    <row r="52" customFormat="false" ht="15" hidden="false" customHeight="false" outlineLevel="0" collapsed="false">
      <c r="A52" s="6"/>
      <c r="B52" s="6"/>
      <c r="C52" s="6"/>
      <c r="D52" s="6"/>
      <c r="E52" s="6"/>
      <c r="F52" s="6"/>
      <c r="G52" s="6"/>
      <c r="H52" s="6"/>
      <c r="I52" s="6"/>
      <c r="J52" s="6"/>
      <c r="K52" s="6"/>
      <c r="L52" s="6"/>
      <c r="M52" s="6"/>
      <c r="N52" s="6"/>
    </row>
    <row r="53" customFormat="false" ht="15" hidden="false" customHeight="false" outlineLevel="0" collapsed="false">
      <c r="A53" s="6"/>
      <c r="B53" s="6"/>
      <c r="C53" s="6"/>
      <c r="D53" s="6"/>
      <c r="E53" s="6"/>
      <c r="F53" s="6"/>
      <c r="G53" s="6"/>
      <c r="H53" s="6"/>
      <c r="I53" s="6"/>
      <c r="J53" s="6"/>
      <c r="K53" s="6"/>
      <c r="L53" s="6"/>
      <c r="M53" s="6"/>
      <c r="N53" s="6"/>
    </row>
    <row r="54" customFormat="false" ht="15" hidden="false" customHeight="false" outlineLevel="0" collapsed="false">
      <c r="A54" s="6"/>
      <c r="B54" s="6"/>
      <c r="C54" s="6"/>
      <c r="D54" s="6"/>
      <c r="E54" s="6"/>
      <c r="F54" s="6"/>
      <c r="G54" s="6"/>
      <c r="H54" s="6"/>
      <c r="I54" s="6"/>
      <c r="J54" s="6"/>
      <c r="K54" s="6"/>
      <c r="L54" s="6"/>
      <c r="M54" s="6"/>
      <c r="N54" s="6"/>
    </row>
    <row r="55" customFormat="false" ht="15" hidden="false" customHeight="false" outlineLevel="0" collapsed="false">
      <c r="A55" s="6"/>
      <c r="B55" s="6"/>
      <c r="C55" s="6"/>
      <c r="D55" s="6"/>
      <c r="E55" s="6"/>
      <c r="F55" s="6"/>
      <c r="G55" s="6"/>
      <c r="H55" s="6"/>
      <c r="I55" s="6"/>
      <c r="J55" s="6"/>
      <c r="K55" s="6"/>
      <c r="L55" s="6"/>
      <c r="M55" s="6"/>
      <c r="N55" s="6"/>
    </row>
    <row r="56" customFormat="false" ht="15" hidden="false" customHeight="false" outlineLevel="0" collapsed="false">
      <c r="A56" s="6"/>
      <c r="B56" s="6"/>
      <c r="C56" s="6"/>
      <c r="D56" s="6"/>
      <c r="E56" s="6"/>
      <c r="F56" s="6"/>
      <c r="G56" s="6"/>
      <c r="H56" s="6"/>
      <c r="I56" s="6"/>
      <c r="J56" s="6"/>
      <c r="K56" s="6"/>
      <c r="L56" s="6"/>
      <c r="M56" s="6"/>
      <c r="N56" s="6"/>
    </row>
    <row r="57" customFormat="false" ht="15" hidden="false" customHeight="false" outlineLevel="0" collapsed="false">
      <c r="A57" s="6"/>
      <c r="B57" s="6"/>
      <c r="C57" s="6"/>
      <c r="D57" s="6"/>
      <c r="E57" s="6"/>
      <c r="F57" s="6"/>
      <c r="G57" s="6"/>
      <c r="H57" s="6"/>
      <c r="I57" s="6"/>
      <c r="J57" s="6"/>
      <c r="K57" s="6"/>
      <c r="L57" s="6"/>
      <c r="M57" s="6"/>
      <c r="N57" s="6"/>
    </row>
    <row r="58" customFormat="false" ht="15" hidden="false" customHeight="false" outlineLevel="0" collapsed="false">
      <c r="A58" s="6"/>
      <c r="B58" s="6"/>
      <c r="C58" s="6"/>
      <c r="D58" s="6"/>
      <c r="E58" s="6"/>
      <c r="F58" s="6"/>
      <c r="G58" s="6"/>
      <c r="H58" s="6"/>
      <c r="I58" s="6"/>
      <c r="J58" s="6"/>
      <c r="K58" s="6"/>
      <c r="L58" s="6"/>
      <c r="M58" s="6"/>
      <c r="N58" s="6"/>
    </row>
    <row r="59" customFormat="false" ht="15" hidden="false" customHeight="false" outlineLevel="0" collapsed="false">
      <c r="A59" s="6"/>
      <c r="B59" s="6"/>
      <c r="C59" s="6"/>
      <c r="D59" s="6"/>
      <c r="E59" s="6"/>
      <c r="F59" s="6"/>
      <c r="G59" s="6"/>
      <c r="H59" s="6"/>
      <c r="I59" s="6"/>
      <c r="J59" s="6"/>
      <c r="K59" s="6"/>
      <c r="L59" s="6"/>
      <c r="M59" s="6"/>
      <c r="N59" s="6"/>
    </row>
  </sheetData>
  <dataValidations count="2">
    <dataValidation allowBlank="true" errorStyle="stop" operator="between" showDropDown="false" showErrorMessage="false" showInputMessage="false" sqref="E3:E1059" type="list">
      <formula1>"Critical,High,Medium,Low"</formula1>
      <formula2>0</formula2>
    </dataValidation>
    <dataValidation allowBlank="true" errorStyle="stop" operator="between" showDropDown="false" showErrorMessage="false" showInputMessage="false" sqref="I3:I1059" type="list">
      <formula1>"Open,In Progress,Fixed,Retest,Closed,Rejected,Deferred"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BFA9"/>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60"/>
    <col collapsed="false" customWidth="true" hidden="false" outlineLevel="0" max="4" min="4" style="0" width="50"/>
    <col collapsed="false" customWidth="true" hidden="false" outlineLevel="0" max="5" min="5" style="0" width="14"/>
    <col collapsed="false" customWidth="true" hidden="false" outlineLevel="0" max="6" min="6" style="0" width="12"/>
    <col collapsed="false" customWidth="true" hidden="false" outlineLevel="0" max="7" min="7" style="0" width="30"/>
  </cols>
  <sheetData>
    <row r="1" customFormat="false" ht="30" hidden="false" customHeight="true" outlineLevel="0" collapsed="false">
      <c r="A1" s="7" t="s">
        <v>2536</v>
      </c>
      <c r="B1" s="7" t="s">
        <v>2537</v>
      </c>
      <c r="C1" s="7" t="s">
        <v>2538</v>
      </c>
      <c r="D1" s="7" t="s">
        <v>2539</v>
      </c>
      <c r="E1" s="7" t="s">
        <v>2540</v>
      </c>
      <c r="F1" s="7" t="s">
        <v>2541</v>
      </c>
      <c r="G1" s="7" t="s">
        <v>2411</v>
      </c>
    </row>
    <row r="2" customFormat="false" ht="61.5" hidden="false" customHeight="true" outlineLevel="0" collapsed="false">
      <c r="A2" s="21" t="n">
        <v>1</v>
      </c>
      <c r="B2" s="21" t="s">
        <v>121</v>
      </c>
      <c r="C2" s="21" t="s">
        <v>2542</v>
      </c>
      <c r="D2" s="21" t="s">
        <v>2543</v>
      </c>
      <c r="E2" s="21" t="s">
        <v>2066</v>
      </c>
      <c r="F2" s="22"/>
      <c r="G2" s="22"/>
    </row>
    <row r="3" customFormat="false" ht="61.5" hidden="false" customHeight="true" outlineLevel="0" collapsed="false">
      <c r="A3" s="21" t="n">
        <v>2</v>
      </c>
      <c r="B3" s="21" t="s">
        <v>121</v>
      </c>
      <c r="C3" s="21" t="s">
        <v>2544</v>
      </c>
      <c r="D3" s="21" t="s">
        <v>2545</v>
      </c>
      <c r="E3" s="21" t="s">
        <v>1859</v>
      </c>
      <c r="F3" s="22"/>
      <c r="G3" s="22"/>
    </row>
    <row r="4" customFormat="false" ht="61.5" hidden="false" customHeight="true" outlineLevel="0" collapsed="false">
      <c r="A4" s="21" t="n">
        <v>3</v>
      </c>
      <c r="B4" s="21" t="s">
        <v>121</v>
      </c>
      <c r="C4" s="21" t="s">
        <v>2546</v>
      </c>
      <c r="D4" s="21" t="s">
        <v>2547</v>
      </c>
      <c r="E4" s="21" t="s">
        <v>1884</v>
      </c>
      <c r="F4" s="22"/>
      <c r="G4" s="22"/>
    </row>
    <row r="5" customFormat="false" ht="61.5" hidden="false" customHeight="true" outlineLevel="0" collapsed="false">
      <c r="A5" s="21" t="n">
        <v>4</v>
      </c>
      <c r="B5" s="21" t="s">
        <v>121</v>
      </c>
      <c r="C5" s="21" t="s">
        <v>2548</v>
      </c>
      <c r="D5" s="21" t="s">
        <v>2549</v>
      </c>
      <c r="E5" s="21" t="s">
        <v>1927</v>
      </c>
      <c r="F5" s="22"/>
      <c r="G5" s="22"/>
    </row>
    <row r="6" customFormat="false" ht="61.5" hidden="false" customHeight="true" outlineLevel="0" collapsed="false">
      <c r="A6" s="21" t="n">
        <v>5</v>
      </c>
      <c r="B6" s="21" t="s">
        <v>121</v>
      </c>
      <c r="C6" s="21" t="s">
        <v>2550</v>
      </c>
      <c r="D6" s="21" t="s">
        <v>2551</v>
      </c>
      <c r="E6" s="21" t="s">
        <v>2028</v>
      </c>
      <c r="F6" s="22"/>
      <c r="G6" s="22"/>
    </row>
    <row r="7" customFormat="false" ht="61.5" hidden="false" customHeight="true" outlineLevel="0" collapsed="false">
      <c r="A7" s="21" t="n">
        <v>6</v>
      </c>
      <c r="B7" s="21" t="s">
        <v>2552</v>
      </c>
      <c r="C7" s="21" t="s">
        <v>2553</v>
      </c>
      <c r="D7" s="21" t="s">
        <v>2554</v>
      </c>
      <c r="E7" s="21" t="s">
        <v>344</v>
      </c>
      <c r="F7" s="22"/>
      <c r="G7" s="22"/>
    </row>
    <row r="8" customFormat="false" ht="61.5" hidden="false" customHeight="true" outlineLevel="0" collapsed="false">
      <c r="A8" s="21" t="n">
        <v>7</v>
      </c>
      <c r="B8" s="21" t="s">
        <v>2552</v>
      </c>
      <c r="C8" s="21" t="s">
        <v>2555</v>
      </c>
      <c r="D8" s="21" t="s">
        <v>2556</v>
      </c>
      <c r="E8" s="21" t="s">
        <v>488</v>
      </c>
      <c r="F8" s="22"/>
      <c r="G8" s="22"/>
    </row>
    <row r="9" customFormat="false" ht="61.5" hidden="false" customHeight="true" outlineLevel="0" collapsed="false">
      <c r="A9" s="21" t="n">
        <v>8</v>
      </c>
      <c r="B9" s="21" t="s">
        <v>2552</v>
      </c>
      <c r="C9" s="21" t="s">
        <v>2557</v>
      </c>
      <c r="D9" s="21" t="s">
        <v>2558</v>
      </c>
      <c r="E9" s="21" t="s">
        <v>825</v>
      </c>
      <c r="F9" s="22"/>
      <c r="G9" s="22"/>
    </row>
    <row r="10" customFormat="false" ht="61.5" hidden="false" customHeight="true" outlineLevel="0" collapsed="false">
      <c r="A10" s="21" t="n">
        <v>9</v>
      </c>
      <c r="B10" s="21" t="s">
        <v>2552</v>
      </c>
      <c r="C10" s="21" t="s">
        <v>2559</v>
      </c>
      <c r="D10" s="21" t="s">
        <v>2560</v>
      </c>
      <c r="E10" s="21" t="s">
        <v>366</v>
      </c>
      <c r="F10" s="22"/>
      <c r="G10" s="22"/>
    </row>
    <row r="11" customFormat="false" ht="61.5" hidden="false" customHeight="true" outlineLevel="0" collapsed="false">
      <c r="A11" s="21" t="n">
        <v>10</v>
      </c>
      <c r="B11" s="21" t="s">
        <v>51</v>
      </c>
      <c r="C11" s="21" t="s">
        <v>2561</v>
      </c>
      <c r="D11" s="21" t="s">
        <v>2562</v>
      </c>
      <c r="E11" s="21" t="s">
        <v>910</v>
      </c>
      <c r="F11" s="22"/>
      <c r="G11" s="22"/>
    </row>
    <row r="12" customFormat="false" ht="61.5" hidden="false" customHeight="true" outlineLevel="0" collapsed="false">
      <c r="A12" s="21" t="n">
        <v>11</v>
      </c>
      <c r="B12" s="21" t="s">
        <v>2563</v>
      </c>
      <c r="C12" s="21" t="s">
        <v>2564</v>
      </c>
      <c r="D12" s="21" t="s">
        <v>2565</v>
      </c>
      <c r="E12" s="21" t="s">
        <v>1587</v>
      </c>
      <c r="F12" s="22"/>
      <c r="G12" s="22"/>
    </row>
    <row r="13" customFormat="false" ht="61.5" hidden="false" customHeight="true" outlineLevel="0" collapsed="false">
      <c r="A13" s="21" t="n">
        <v>12</v>
      </c>
      <c r="B13" s="21" t="s">
        <v>1804</v>
      </c>
      <c r="C13" s="21" t="s">
        <v>2566</v>
      </c>
      <c r="D13" s="21" t="s">
        <v>2567</v>
      </c>
      <c r="E13" s="21" t="s">
        <v>1803</v>
      </c>
      <c r="F13" s="22"/>
      <c r="G13" s="22"/>
    </row>
    <row r="14" customFormat="false" ht="61.5" hidden="false" customHeight="true" outlineLevel="0" collapsed="false">
      <c r="A14" s="21" t="n">
        <v>13</v>
      </c>
      <c r="B14" s="21" t="s">
        <v>1804</v>
      </c>
      <c r="C14" s="21" t="s">
        <v>2568</v>
      </c>
      <c r="D14" s="21" t="s">
        <v>2569</v>
      </c>
      <c r="E14" s="21" t="s">
        <v>2570</v>
      </c>
      <c r="F14" s="22"/>
      <c r="G14" s="22"/>
    </row>
    <row r="15" customFormat="false" ht="61.5" hidden="false" customHeight="true" outlineLevel="0" collapsed="false">
      <c r="A15" s="21" t="n">
        <v>14</v>
      </c>
      <c r="B15" s="21" t="s">
        <v>1821</v>
      </c>
      <c r="C15" s="21" t="s">
        <v>2571</v>
      </c>
      <c r="D15" s="21" t="s">
        <v>2572</v>
      </c>
      <c r="E15" s="21" t="s">
        <v>1820</v>
      </c>
      <c r="F15" s="22"/>
      <c r="G15" s="22"/>
    </row>
    <row r="16" customFormat="false" ht="61.5" hidden="false" customHeight="true" outlineLevel="0" collapsed="false">
      <c r="A16" s="21" t="n">
        <v>15</v>
      </c>
      <c r="B16" s="21" t="s">
        <v>1821</v>
      </c>
      <c r="C16" s="21" t="s">
        <v>2573</v>
      </c>
      <c r="D16" s="21" t="s">
        <v>2574</v>
      </c>
      <c r="E16" s="21" t="s">
        <v>1820</v>
      </c>
      <c r="F16" s="22"/>
      <c r="G16" s="22"/>
    </row>
    <row r="17" customFormat="false" ht="61.5" hidden="false" customHeight="true" outlineLevel="0" collapsed="false">
      <c r="A17" s="21" t="n">
        <v>16</v>
      </c>
      <c r="B17" s="21" t="s">
        <v>1804</v>
      </c>
      <c r="C17" s="21" t="s">
        <v>2575</v>
      </c>
      <c r="D17" s="21" t="s">
        <v>2576</v>
      </c>
      <c r="E17" s="21" t="s">
        <v>1815</v>
      </c>
      <c r="F17" s="22"/>
      <c r="G17" s="22"/>
    </row>
    <row r="18" customFormat="false" ht="61.5" hidden="false" customHeight="true" outlineLevel="0" collapsed="false">
      <c r="A18" s="21" t="n">
        <v>17</v>
      </c>
      <c r="B18" s="21" t="s">
        <v>2577</v>
      </c>
      <c r="C18" s="21" t="s">
        <v>2578</v>
      </c>
      <c r="D18" s="21" t="s">
        <v>2579</v>
      </c>
      <c r="E18" s="21" t="s">
        <v>1780</v>
      </c>
      <c r="F18" s="22"/>
      <c r="G18" s="22"/>
    </row>
    <row r="19" customFormat="false" ht="61.5" hidden="false" customHeight="true" outlineLevel="0" collapsed="false">
      <c r="A19" s="21" t="n">
        <v>18</v>
      </c>
      <c r="B19" s="21" t="s">
        <v>55</v>
      </c>
      <c r="C19" s="21" t="s">
        <v>2580</v>
      </c>
      <c r="D19" s="21" t="s">
        <v>2581</v>
      </c>
      <c r="E19" s="21" t="s">
        <v>1245</v>
      </c>
      <c r="F19" s="22"/>
      <c r="G19" s="2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2026-10-11T06:11:48Z</dcterms:created>
  <dc:creator>openpyxl</dc:creator>
  <dc:description/>
  <dc:language>en-US</dc:language>
  <cp:lastModifiedBy/>
  <dcterms:modified xsi:type="dcterms:W3CDTF">2026-10-11T06:11:48Z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